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7" autoFilterDateGrouping="1"/>
  </bookViews>
  <sheets>
    <sheet name="Oct 2023" sheetId="1" state="hidden" r:id="rId1"/>
    <sheet name="Nov 2023" sheetId="2" state="hidden" r:id="rId2"/>
    <sheet name="Dec 2023" sheetId="3" state="hidden" r:id="rId3"/>
    <sheet name="Jan 2024" sheetId="4" state="hidden" r:id="rId4"/>
    <sheet name="Feb 2024" sheetId="5" state="hidden" r:id="rId5"/>
    <sheet name="Mar 2024" sheetId="6" state="hidden" r:id="rId6"/>
    <sheet name="Apr 2024" sheetId="7" state="hidden" r:id="rId7"/>
    <sheet name="May 2024" sheetId="8" state="hidden" r:id="rId8"/>
    <sheet name="Jun 2024" sheetId="9" state="hidden" r:id="rId9"/>
    <sheet name="Jul 2024" sheetId="10" state="hidden" r:id="rId10"/>
    <sheet name="Aug 2024" sheetId="11" state="hidden" r:id="rId11"/>
    <sheet name="Sep 2024" sheetId="12" state="hidden" r:id="rId12"/>
    <sheet name="Oct 2024" sheetId="13" state="hidden" r:id="rId13"/>
    <sheet name="Nov 2024" sheetId="14" state="hidden" r:id="rId14"/>
    <sheet name="Dec 2024" sheetId="15" state="hidden" r:id="rId15"/>
    <sheet name="Jan 2025" sheetId="16" state="hidden" r:id="rId16"/>
    <sheet name="Feb 2025" sheetId="17" state="hidden" r:id="rId17"/>
    <sheet name="Mar 2025" sheetId="18" state="hidden" r:id="rId18"/>
    <sheet name="Apr 2025" sheetId="19" state="hidden" r:id="rId19"/>
    <sheet name="May 2025" sheetId="20" state="hidden" r:id="rId20"/>
    <sheet name="Jun 2025" sheetId="21" state="hidden" r:id="rId21"/>
    <sheet name="Jul 2025" sheetId="22" state="hidden" r:id="rId22"/>
    <sheet name="Aug 2025" sheetId="23" state="hidden" r:id="rId23"/>
    <sheet name="Sep 2025" sheetId="24" state="hidden" r:id="rId24"/>
    <sheet name="Oct 2025" sheetId="25" state="hidden" r:id="rId25"/>
    <sheet name="Nov 2025" sheetId="26" state="hidden" r:id="rId26"/>
    <sheet name="Dec 2025" sheetId="27" state="hidden" r:id="rId27"/>
    <sheet name="Jan 2026" sheetId="28" state="visible" r:id="rId28"/>
    <sheet name="Feb 2026" sheetId="29" state="visible" r:id="rId29"/>
    <sheet name="Mar 2026" sheetId="30" state="visible" r:id="rId30"/>
    <sheet name="Apr 2026" sheetId="31" state="visible" r:id="rId31"/>
    <sheet name="May 2026" sheetId="32" state="visible" r:id="rId32"/>
    <sheet name="🛍 Big Buys" sheetId="33" state="visible" r:id="rId33"/>
    <sheet name="💰 Cash Assets" sheetId="34" state="visible" r:id="rId34"/>
    <sheet name="📊 Anual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5A623"/>
      <sz val="11"/>
    </font>
    <font>
      <name val="Calibri"/>
      <color rgb="00AAAAAA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16213E"/>
      <sz val="11"/>
    </font>
    <font>
      <name val="Calibri"/>
      <b val="1"/>
      <color rgb="001A1A2E"/>
      <sz val="11"/>
    </font>
    <font>
      <name val="Calibri"/>
      <b val="1"/>
      <color rgb="00F5A623"/>
      <sz val="12"/>
    </font>
    <font>
      <color rgb="0016213E"/>
      <sz val="10"/>
    </font>
    <font>
      <name val="Calibri"/>
      <b val="1"/>
      <color rgb="0016213E"/>
      <sz val="11"/>
    </font>
    <font>
      <color rgb="0016213E"/>
      <sz val="11"/>
    </font>
    <font>
      <color rgb="00888888"/>
      <sz val="10"/>
    </font>
    <font>
      <name val="Calibri"/>
      <color rgb="00888888"/>
      <sz val="9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27AE60"/>
      </patternFill>
    </fill>
    <fill>
      <patternFill patternType="solid">
        <fgColor rgb="00F4F5F7"/>
      </patternFill>
    </fill>
    <fill>
      <patternFill patternType="solid">
        <fgColor rgb="00E8EAF0"/>
      </patternFill>
    </fill>
    <fill>
      <patternFill patternType="solid">
        <fgColor rgb="00F5A623"/>
      </patternFill>
    </fill>
    <fill>
      <patternFill patternType="solid">
        <fgColor rgb="002A2A4A"/>
      </patternFill>
    </fill>
    <fill>
      <patternFill patternType="solid">
        <fgColor rgb="00E74C3C"/>
      </patternFill>
    </fill>
    <fill>
      <patternFill patternType="solid">
        <fgColor rgb="000F346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4" fontId="7" fillId="5" borderId="1" applyAlignment="1" pivotButton="0" quotePrefix="0" xfId="0">
      <alignment horizontal="left" vertical="center" wrapText="1"/>
    </xf>
    <xf numFmtId="0" fontId="0" fillId="5" borderId="0" pivotButton="0" quotePrefix="0" xfId="0"/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4" fontId="7" fillId="6" borderId="1" applyAlignment="1" pivotButton="0" quotePrefix="0" xfId="0">
      <alignment horizontal="left" vertical="center" wrapText="1"/>
    </xf>
    <xf numFmtId="0" fontId="0" fillId="6" borderId="0" pivotButton="0" quotePrefix="0" xfId="0"/>
    <xf numFmtId="0" fontId="8" fillId="7" borderId="0" applyAlignment="1" pivotButton="0" quotePrefix="0" xfId="0">
      <alignment horizontal="center" vertical="center" wrapText="1"/>
    </xf>
    <xf numFmtId="4" fontId="8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0" fillId="8" borderId="0" pivotButton="0" quotePrefix="0" xfId="0"/>
    <xf numFmtId="0" fontId="5" fillId="9" borderId="0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6" borderId="1" pivotButton="0" quotePrefix="0" xfId="0"/>
    <xf numFmtId="0" fontId="9" fillId="2" borderId="0" applyAlignment="1" pivotButton="0" quotePrefix="0" xfId="0">
      <alignment horizontal="center" vertical="center" wrapText="1"/>
    </xf>
    <xf numFmtId="4" fontId="3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1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/>
    </xf>
    <xf numFmtId="4" fontId="10" fillId="5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4" fontId="10" fillId="6" borderId="1" applyAlignment="1" pivotButton="0" quotePrefix="0" xfId="0">
      <alignment horizontal="left" vertical="center"/>
    </xf>
    <xf numFmtId="0" fontId="11" fillId="7" borderId="0" applyAlignment="1" pivotButton="0" quotePrefix="0" xfId="0">
      <alignment horizontal="center" vertical="center" wrapText="1"/>
    </xf>
    <xf numFmtId="4" fontId="11" fillId="7" borderId="0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4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4" fontId="12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4" fontId="7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2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 ht="30" customHeight="1">
      <c r="A1" s="1" t="inlineStr">
        <is>
          <t>💸 OCT 2023 — GASTOS MENSUALES</t>
        </is>
      </c>
    </row>
    <row r="2" ht="22" customHeight="1">
      <c r="A2" s="2" t="inlineStr">
        <is>
          <t>USD/ARS</t>
        </is>
      </c>
      <c r="B2" s="3" t="n">
        <v>960</v>
      </c>
      <c r="C2" s="4" t="inlineStr">
        <is>
          <t>← update monthly</t>
        </is>
      </c>
      <c r="D2" s="5" t="n"/>
      <c r="E2" s="5" t="n"/>
      <c r="F2" s="5" t="n"/>
      <c r="G2" s="5" t="n"/>
    </row>
    <row r="3" ht="24" customHeight="1">
      <c r="A3" s="6" t="inlineStr">
        <is>
          <t>▲ INGRESOS</t>
        </is>
      </c>
    </row>
    <row r="4" ht="20" customHeight="1">
      <c r="A4" s="7" t="inlineStr">
        <is>
          <t>#</t>
        </is>
      </c>
      <c r="B4" s="7" t="inlineStr">
        <is>
          <t>Source</t>
        </is>
      </c>
      <c r="C4" s="7" t="inlineStr">
        <is>
          <t>Description</t>
        </is>
      </c>
      <c r="D4" s="7" t="inlineStr">
        <is>
          <t>ARS</t>
        </is>
      </c>
      <c r="E4" s="7" t="inlineStr">
        <is>
          <t>USD</t>
        </is>
      </c>
    </row>
    <row r="5" ht="18" customHeight="1">
      <c r="A5" s="8" t="n">
        <v>1</v>
      </c>
      <c r="B5" s="9" t="inlineStr"/>
      <c r="C5" s="9" t="inlineStr">
        <is>
          <t>Lucas Food Truck 35k</t>
        </is>
      </c>
      <c r="D5" s="10" t="n">
        <v>35000</v>
      </c>
      <c r="E5" s="10" t="n">
        <v>36.46</v>
      </c>
      <c r="F5" s="11" t="n"/>
      <c r="G5" s="11" t="n"/>
    </row>
    <row r="6" ht="18" customHeight="1">
      <c r="A6" s="12" t="n">
        <v>2</v>
      </c>
      <c r="B6" s="13" t="inlineStr"/>
      <c r="C6" s="13" t="inlineStr">
        <is>
          <t>R Zapas Tincho Vans Bordo</t>
        </is>
      </c>
      <c r="D6" s="14" t="n">
        <v>30000</v>
      </c>
      <c r="E6" s="14" t="n">
        <v>31.25</v>
      </c>
      <c r="F6" s="15" t="n"/>
      <c r="G6" s="15" t="n"/>
    </row>
    <row r="7" ht="18" customHeight="1">
      <c r="A7" s="8" t="n">
        <v>3</v>
      </c>
      <c r="B7" s="9" t="inlineStr"/>
      <c r="C7" s="9" t="inlineStr">
        <is>
          <t>D Dani 530</t>
        </is>
      </c>
      <c r="D7" s="10" t="n">
        <v>502080</v>
      </c>
      <c r="E7" s="10" t="n">
        <v>523</v>
      </c>
      <c r="F7" s="11" t="n"/>
      <c r="G7" s="11" t="n"/>
    </row>
    <row r="8" ht="18" customHeight="1">
      <c r="A8" s="12" t="n">
        <v>4</v>
      </c>
      <c r="B8" s="13" t="inlineStr"/>
      <c r="C8" s="13" t="inlineStr">
        <is>
          <t>R Casaca River Negra</t>
        </is>
      </c>
      <c r="D8" s="14" t="n">
        <v>15000</v>
      </c>
      <c r="E8" s="14" t="n">
        <v>15.63</v>
      </c>
      <c r="F8" s="15" t="n"/>
      <c r="G8" s="15" t="n"/>
    </row>
    <row r="9" ht="18" customHeight="1">
      <c r="A9" s="8" t="n">
        <v>5</v>
      </c>
      <c r="B9" s="9" t="inlineStr"/>
      <c r="C9" s="9" t="inlineStr">
        <is>
          <t>V Vapos x3</t>
        </is>
      </c>
      <c r="D9" s="10" t="n">
        <v>32200</v>
      </c>
      <c r="E9" s="10" t="n">
        <v>33.54</v>
      </c>
      <c r="F9" s="11" t="n"/>
      <c r="G9" s="11" t="n"/>
    </row>
    <row r="10" ht="18" customHeight="1">
      <c r="A10" s="12" t="n">
        <v>6</v>
      </c>
      <c r="B10" s="13" t="inlineStr"/>
      <c r="C10" s="13" t="inlineStr">
        <is>
          <t>F1 A Hs82 y Tom saez</t>
        </is>
      </c>
      <c r="D10" s="14" t="n">
        <v>127400</v>
      </c>
      <c r="E10" s="14" t="n">
        <v>132.71</v>
      </c>
      <c r="F10" s="15" t="n"/>
      <c r="G10" s="15" t="n"/>
    </row>
    <row r="11" ht="18" customHeight="1">
      <c r="A11" s="8" t="n">
        <v>7</v>
      </c>
      <c r="B11" s="9" t="inlineStr"/>
      <c r="C11" s="9" t="inlineStr">
        <is>
          <t>M MODEL PEYA</t>
        </is>
      </c>
      <c r="D11" s="10" t="n">
        <v>200000</v>
      </c>
      <c r="E11" s="10" t="n">
        <v>208.33</v>
      </c>
      <c r="F11" s="11" t="n"/>
      <c r="G11" s="11" t="n"/>
    </row>
    <row r="12" ht="18" customHeight="1">
      <c r="A12" s="12" t="n">
        <v>8</v>
      </c>
      <c r="B12" s="13" t="inlineStr"/>
      <c r="C12" s="13" t="inlineStr">
        <is>
          <t>A Iphone Gonza CF 13Pro 98%</t>
        </is>
      </c>
      <c r="D12" s="14" t="n">
        <v>100800</v>
      </c>
      <c r="E12" s="14" t="n">
        <v>105</v>
      </c>
      <c r="F12" s="15" t="n"/>
      <c r="G12" s="15" t="n"/>
    </row>
    <row r="13" ht="18" customHeight="1">
      <c r="A13" s="8" t="n">
        <v>9</v>
      </c>
      <c r="B13" s="9" t="inlineStr"/>
      <c r="C13" s="9" t="inlineStr">
        <is>
          <t>A Ipad 9na</t>
        </is>
      </c>
      <c r="D13" s="10" t="n">
        <v>90000</v>
      </c>
      <c r="E13" s="10" t="n">
        <v>93.75</v>
      </c>
      <c r="F13" s="11" t="n"/>
      <c r="G13" s="11" t="n"/>
    </row>
    <row r="14" ht="22" customHeight="1">
      <c r="A14" s="16" t="inlineStr">
        <is>
          <t>TOTAL INGRESOS</t>
        </is>
      </c>
      <c r="D14" s="17">
        <f>SUM(D5:D13)</f>
        <v/>
      </c>
      <c r="E14" s="17">
        <f>SUM(E5:E13)</f>
        <v/>
      </c>
      <c r="F14" s="18" t="n"/>
      <c r="G14" s="18" t="n"/>
    </row>
    <row r="15" ht="8" customHeight="1">
      <c r="A15" s="19" t="n"/>
      <c r="B15" s="19" t="n"/>
      <c r="C15" s="19" t="n"/>
      <c r="D15" s="19" t="n"/>
      <c r="E15" s="19" t="n"/>
      <c r="F15" s="19" t="n"/>
      <c r="G15" s="19" t="n"/>
    </row>
    <row r="16" ht="24" customHeight="1">
      <c r="A16" s="20" t="inlineStr">
        <is>
          <t>▼ EGRESOS FIJOS</t>
        </is>
      </c>
    </row>
    <row r="17" ht="20" customHeight="1">
      <c r="A17" s="21" t="inlineStr">
        <is>
          <t>#</t>
        </is>
      </c>
      <c r="B17" s="21" t="inlineStr">
        <is>
          <t>Description</t>
        </is>
      </c>
      <c r="C17" s="21" t="inlineStr">
        <is>
          <t>ARS</t>
        </is>
      </c>
      <c r="D17" s="21" t="inlineStr">
        <is>
          <t>USD</t>
        </is>
      </c>
      <c r="E17" s="21" t="inlineStr">
        <is>
          <t>Status</t>
        </is>
      </c>
      <c r="F17" s="21" t="inlineStr"/>
      <c r="G17" s="21" t="inlineStr"/>
    </row>
    <row r="18" ht="18" customHeight="1">
      <c r="A18" s="8" t="n">
        <v>1</v>
      </c>
      <c r="B18" s="9" t="inlineStr">
        <is>
          <t>Rentas</t>
        </is>
      </c>
      <c r="D18" s="10" t="n">
        <v>6000</v>
      </c>
      <c r="E18" s="10" t="n">
        <v>6.06</v>
      </c>
      <c r="F18" s="9" t="inlineStr">
        <is>
          <t>Pagado</t>
        </is>
      </c>
      <c r="G18" s="11" t="n"/>
    </row>
    <row r="19" ht="18" customHeight="1">
      <c r="A19" s="12" t="n">
        <v>2</v>
      </c>
      <c r="B19" s="13" t="inlineStr">
        <is>
          <t>Exp Arenales</t>
        </is>
      </c>
      <c r="D19" s="14" t="n">
        <v>9000</v>
      </c>
      <c r="E19" s="14" t="n">
        <v>9.09</v>
      </c>
      <c r="F19" s="13" t="inlineStr">
        <is>
          <t>Pagado</t>
        </is>
      </c>
      <c r="G19" s="15" t="n"/>
    </row>
    <row r="20" ht="18" customHeight="1">
      <c r="A20" s="8" t="n">
        <v>3</v>
      </c>
      <c r="B20" s="9" t="inlineStr">
        <is>
          <t>AFIP</t>
        </is>
      </c>
      <c r="D20" s="10" t="n">
        <v>5500</v>
      </c>
      <c r="E20" s="10" t="n">
        <v>5.56</v>
      </c>
      <c r="F20" s="9" t="inlineStr">
        <is>
          <t>Pagado</t>
        </is>
      </c>
      <c r="G20" s="11" t="n"/>
    </row>
    <row r="21" ht="18" customHeight="1">
      <c r="A21" s="12" t="n">
        <v>4</v>
      </c>
      <c r="B21" s="13" t="inlineStr">
        <is>
          <t>Boca</t>
        </is>
      </c>
      <c r="D21" s="14" t="n">
        <v>2500</v>
      </c>
      <c r="E21" s="14" t="n">
        <v>2.53</v>
      </c>
      <c r="F21" s="13" t="inlineStr">
        <is>
          <t>Auto</t>
        </is>
      </c>
      <c r="G21" s="15" t="n"/>
    </row>
    <row r="22" ht="18" customHeight="1">
      <c r="A22" s="8" t="n">
        <v>5</v>
      </c>
      <c r="B22" s="9" t="inlineStr">
        <is>
          <t>Smiles</t>
        </is>
      </c>
      <c r="D22" s="10" t="n">
        <v>3500</v>
      </c>
      <c r="E22" s="10" t="n">
        <v>3.54</v>
      </c>
      <c r="F22" s="9" t="inlineStr">
        <is>
          <t>Auto</t>
        </is>
      </c>
      <c r="G22" s="11" t="n"/>
    </row>
    <row r="23" ht="18" customHeight="1">
      <c r="A23" s="12" t="n">
        <v>6</v>
      </c>
      <c r="B23" s="13" t="inlineStr">
        <is>
          <t>Gali Prestamo</t>
        </is>
      </c>
      <c r="D23" s="14" t="n">
        <v>15500</v>
      </c>
      <c r="E23" s="14" t="n">
        <v>15.66</v>
      </c>
      <c r="F23" s="13" t="inlineStr">
        <is>
          <t>Pendiente</t>
        </is>
      </c>
      <c r="G23" s="15" t="n"/>
    </row>
    <row r="24" ht="18" customHeight="1">
      <c r="A24" s="8" t="n">
        <v>7</v>
      </c>
      <c r="B24" s="9" t="inlineStr">
        <is>
          <t>BBVA Tarjeta</t>
        </is>
      </c>
      <c r="D24" s="10" t="n">
        <v>10000</v>
      </c>
      <c r="E24" s="10" t="n">
        <v>10.1</v>
      </c>
      <c r="F24" s="9" t="inlineStr">
        <is>
          <t>Pagado</t>
        </is>
      </c>
      <c r="G24" s="11" t="n"/>
    </row>
    <row r="25" ht="22" customHeight="1">
      <c r="A25" s="16" t="inlineStr">
        <is>
          <t>TOTAL FIJOS</t>
        </is>
      </c>
      <c r="D25" s="17">
        <f>SUM(D18:D24)</f>
        <v/>
      </c>
      <c r="E25" s="17">
        <f>SUM(E18:E24)</f>
        <v/>
      </c>
      <c r="F25" s="18" t="n"/>
      <c r="G25" s="18" t="n"/>
    </row>
    <row r="26" ht="8" customHeight="1">
      <c r="A26" s="19" t="n"/>
      <c r="B26" s="19" t="n"/>
      <c r="C26" s="19" t="n"/>
      <c r="D26" s="19" t="n"/>
      <c r="E26" s="19" t="n"/>
      <c r="F26" s="19" t="n"/>
      <c r="G26" s="19" t="n"/>
    </row>
    <row r="27" ht="24" customHeight="1">
      <c r="A27" s="22" t="inlineStr">
        <is>
          <t>📋 GASTOS DEL MES</t>
        </is>
      </c>
    </row>
    <row r="28" ht="20" customHeight="1">
      <c r="A28" s="23" t="inlineStr">
        <is>
          <t>#</t>
        </is>
      </c>
      <c r="B28" s="23" t="inlineStr">
        <is>
          <t>Date</t>
        </is>
      </c>
      <c r="C28" s="23" t="inlineStr">
        <is>
          <t>Description</t>
        </is>
      </c>
      <c r="D28" s="23" t="inlineStr">
        <is>
          <t>ARS</t>
        </is>
      </c>
      <c r="E28" s="23" t="inlineStr">
        <is>
          <t>USD</t>
        </is>
      </c>
      <c r="F28" s="23" t="inlineStr">
        <is>
          <t>Category</t>
        </is>
      </c>
      <c r="G28" s="23" t="inlineStr">
        <is>
          <t>Payment</t>
        </is>
      </c>
    </row>
    <row r="29" ht="18" customHeight="1">
      <c r="A29" s="8" t="n">
        <v>1</v>
      </c>
      <c r="B29" s="8" t="inlineStr">
        <is>
          <t>01</t>
        </is>
      </c>
      <c r="C29" s="9" t="inlineStr">
        <is>
          <t>1er pago Cabaña</t>
        </is>
      </c>
      <c r="D29" s="10" t="n">
        <v>50000</v>
      </c>
      <c r="E29" s="10" t="n">
        <v>52.08</v>
      </c>
      <c r="F29" s="9" t="inlineStr"/>
      <c r="G29" s="9" t="inlineStr"/>
    </row>
    <row r="30" ht="18" customHeight="1">
      <c r="A30" s="12" t="n">
        <v>2</v>
      </c>
      <c r="B30" s="12" t="inlineStr">
        <is>
          <t>02</t>
        </is>
      </c>
      <c r="C30" s="13" t="inlineStr">
        <is>
          <t>Veggie</t>
        </is>
      </c>
      <c r="D30" s="14" t="n">
        <v>4000</v>
      </c>
      <c r="E30" s="14" t="n">
        <v>4.17</v>
      </c>
      <c r="F30" s="13" t="inlineStr"/>
      <c r="G30" s="13" t="inlineStr"/>
    </row>
    <row r="31" ht="18" customHeight="1">
      <c r="A31" s="8" t="n">
        <v>3</v>
      </c>
      <c r="B31" s="8" t="inlineStr">
        <is>
          <t>03</t>
        </is>
      </c>
      <c r="C31" s="9" t="inlineStr">
        <is>
          <t>2do Pago Cabaña</t>
        </is>
      </c>
      <c r="D31" s="10" t="n">
        <v>118000</v>
      </c>
      <c r="E31" s="10" t="n">
        <v>122.92</v>
      </c>
      <c r="F31" s="9" t="inlineStr"/>
      <c r="G31" s="9" t="inlineStr"/>
    </row>
    <row r="32" ht="18" customHeight="1">
      <c r="A32" s="12" t="n">
        <v>4</v>
      </c>
      <c r="B32" s="12" t="inlineStr">
        <is>
          <t>04</t>
        </is>
      </c>
      <c r="C32" s="13" t="inlineStr">
        <is>
          <t>Tarta</t>
        </is>
      </c>
      <c r="D32" s="14" t="n">
        <v>5000</v>
      </c>
      <c r="E32" s="14" t="n">
        <v>5.21</v>
      </c>
      <c r="F32" s="13" t="inlineStr"/>
      <c r="G32" s="13" t="inlineStr"/>
    </row>
    <row r="33" ht="18" customHeight="1">
      <c r="A33" s="8" t="n">
        <v>5</v>
      </c>
      <c r="B33" s="8" t="inlineStr">
        <is>
          <t>05</t>
        </is>
      </c>
      <c r="C33" s="9" t="inlineStr">
        <is>
          <t>Compras Depto</t>
        </is>
      </c>
      <c r="D33" s="10" t="n">
        <v>18000</v>
      </c>
      <c r="E33" s="10" t="n">
        <v>18.75</v>
      </c>
      <c r="F33" s="9" t="inlineStr"/>
      <c r="G33" s="9" t="inlineStr"/>
    </row>
    <row r="34" ht="18" customHeight="1">
      <c r="A34" s="12" t="n">
        <v>6</v>
      </c>
      <c r="B34" s="12" t="inlineStr">
        <is>
          <t>06</t>
        </is>
      </c>
      <c r="C34" s="13" t="inlineStr">
        <is>
          <t>Pava Electrica</t>
        </is>
      </c>
      <c r="D34" s="14" t="n">
        <v>7000</v>
      </c>
      <c r="E34" s="14" t="n">
        <v>7.29</v>
      </c>
      <c r="F34" s="13" t="inlineStr"/>
      <c r="G34" s="13" t="inlineStr"/>
    </row>
    <row r="35" ht="18" customHeight="1">
      <c r="A35" s="8" t="n">
        <v>7</v>
      </c>
      <c r="B35" s="8" t="inlineStr">
        <is>
          <t>07</t>
        </is>
      </c>
      <c r="C35" s="9" t="inlineStr">
        <is>
          <t>Tapa de baño</t>
        </is>
      </c>
      <c r="D35" s="10" t="n">
        <v>11000</v>
      </c>
      <c r="E35" s="10" t="n">
        <v>11.46</v>
      </c>
      <c r="F35" s="9" t="inlineStr"/>
      <c r="G35" s="9" t="inlineStr"/>
    </row>
    <row r="36" ht="18" customHeight="1">
      <c r="A36" s="12" t="n">
        <v>8</v>
      </c>
      <c r="B36" s="12" t="inlineStr">
        <is>
          <t>08</t>
        </is>
      </c>
      <c r="C36" s="13" t="inlineStr">
        <is>
          <t>Casaca Barza</t>
        </is>
      </c>
      <c r="D36" s="14" t="n">
        <v>7000</v>
      </c>
      <c r="E36" s="14" t="n">
        <v>7.29</v>
      </c>
      <c r="F36" s="13" t="inlineStr"/>
      <c r="G36" s="13" t="inlineStr"/>
    </row>
    <row r="37" ht="18" customHeight="1">
      <c r="A37" s="8" t="n">
        <v>9</v>
      </c>
      <c r="B37" s="8" t="inlineStr">
        <is>
          <t>09</t>
        </is>
      </c>
      <c r="C37" s="9" t="inlineStr">
        <is>
          <t>Polleria</t>
        </is>
      </c>
      <c r="D37" s="10" t="n">
        <v>10000</v>
      </c>
      <c r="E37" s="10" t="n">
        <v>10.42</v>
      </c>
      <c r="F37" s="9" t="inlineStr"/>
      <c r="G37" s="9" t="inlineStr"/>
    </row>
    <row r="38" ht="18" customHeight="1">
      <c r="A38" s="12" t="n">
        <v>10</v>
      </c>
      <c r="B38" s="12" t="inlineStr">
        <is>
          <t>10</t>
        </is>
      </c>
      <c r="C38" s="13" t="inlineStr">
        <is>
          <t>Kiosco</t>
        </is>
      </c>
      <c r="D38" s="14" t="n">
        <v>5000</v>
      </c>
      <c r="E38" s="14" t="n">
        <v>5.21</v>
      </c>
      <c r="F38" s="13" t="inlineStr"/>
      <c r="G38" s="13" t="inlineStr"/>
    </row>
    <row r="39" ht="18" customHeight="1">
      <c r="A39" s="24" t="n"/>
      <c r="B39" s="24" t="n"/>
      <c r="C39" s="24" t="n"/>
      <c r="D39" s="24" t="n"/>
      <c r="E39" s="24" t="n"/>
      <c r="F39" s="24" t="n"/>
      <c r="G39" s="24" t="n"/>
    </row>
    <row r="40" ht="18" customHeight="1">
      <c r="A40" s="25" t="n"/>
      <c r="B40" s="25" t="n"/>
      <c r="C40" s="25" t="n"/>
      <c r="D40" s="25" t="n"/>
      <c r="E40" s="25" t="n"/>
      <c r="F40" s="25" t="n"/>
      <c r="G40" s="25" t="n"/>
    </row>
    <row r="41" ht="18" customHeight="1">
      <c r="A41" s="24" t="n"/>
      <c r="B41" s="24" t="n"/>
      <c r="C41" s="24" t="n"/>
      <c r="D41" s="24" t="n"/>
      <c r="E41" s="24" t="n"/>
      <c r="F41" s="24" t="n"/>
      <c r="G41" s="24" t="n"/>
    </row>
    <row r="42" ht="18" customHeight="1">
      <c r="A42" s="25" t="n"/>
      <c r="B42" s="25" t="n"/>
      <c r="C42" s="25" t="n"/>
      <c r="D42" s="25" t="n"/>
      <c r="E42" s="25" t="n"/>
      <c r="F42" s="25" t="n"/>
      <c r="G42" s="25" t="n"/>
    </row>
    <row r="43" ht="18" customHeight="1">
      <c r="A43" s="24" t="n"/>
      <c r="B43" s="24" t="n"/>
      <c r="C43" s="24" t="n"/>
      <c r="D43" s="24" t="n"/>
      <c r="E43" s="24" t="n"/>
      <c r="F43" s="24" t="n"/>
      <c r="G43" s="24" t="n"/>
    </row>
    <row r="44" ht="18" customHeight="1">
      <c r="A44" s="25" t="n"/>
      <c r="B44" s="25" t="n"/>
      <c r="C44" s="25" t="n"/>
      <c r="D44" s="25" t="n"/>
      <c r="E44" s="25" t="n"/>
      <c r="F44" s="25" t="n"/>
      <c r="G44" s="25" t="n"/>
    </row>
    <row r="45" ht="18" customHeight="1">
      <c r="A45" s="24" t="n"/>
      <c r="B45" s="24" t="n"/>
      <c r="C45" s="24" t="n"/>
      <c r="D45" s="24" t="n"/>
      <c r="E45" s="24" t="n"/>
      <c r="F45" s="24" t="n"/>
      <c r="G45" s="24" t="n"/>
    </row>
    <row r="46" ht="18" customHeight="1">
      <c r="A46" s="25" t="n"/>
      <c r="B46" s="25" t="n"/>
      <c r="C46" s="25" t="n"/>
      <c r="D46" s="25" t="n"/>
      <c r="E46" s="25" t="n"/>
      <c r="F46" s="25" t="n"/>
      <c r="G46" s="25" t="n"/>
    </row>
    <row r="47" ht="18" customHeight="1">
      <c r="A47" s="24" t="n"/>
      <c r="B47" s="24" t="n"/>
      <c r="C47" s="24" t="n"/>
      <c r="D47" s="24" t="n"/>
      <c r="E47" s="24" t="n"/>
      <c r="F47" s="24" t="n"/>
      <c r="G47" s="24" t="n"/>
    </row>
    <row r="48" ht="18" customHeight="1">
      <c r="A48" s="25" t="n"/>
      <c r="B48" s="25" t="n"/>
      <c r="C48" s="25" t="n"/>
      <c r="D48" s="25" t="n"/>
      <c r="E48" s="25" t="n"/>
      <c r="F48" s="25" t="n"/>
      <c r="G48" s="25" t="n"/>
    </row>
    <row r="49" ht="18" customHeight="1">
      <c r="A49" s="24" t="n"/>
      <c r="B49" s="24" t="n"/>
      <c r="C49" s="24" t="n"/>
      <c r="D49" s="24" t="n"/>
      <c r="E49" s="24" t="n"/>
      <c r="F49" s="24" t="n"/>
      <c r="G49" s="24" t="n"/>
    </row>
    <row r="50" ht="18" customHeight="1">
      <c r="A50" s="25" t="n"/>
      <c r="B50" s="25" t="n"/>
      <c r="C50" s="25" t="n"/>
      <c r="D50" s="25" t="n"/>
      <c r="E50" s="25" t="n"/>
      <c r="F50" s="25" t="n"/>
      <c r="G50" s="25" t="n"/>
    </row>
    <row r="51" ht="18" customHeight="1">
      <c r="A51" s="24" t="n"/>
      <c r="B51" s="24" t="n"/>
      <c r="C51" s="24" t="n"/>
      <c r="D51" s="24" t="n"/>
      <c r="E51" s="24" t="n"/>
      <c r="F51" s="24" t="n"/>
      <c r="G51" s="24" t="n"/>
    </row>
    <row r="52" ht="18" customHeight="1">
      <c r="A52" s="25" t="n"/>
      <c r="B52" s="25" t="n"/>
      <c r="C52" s="25" t="n"/>
      <c r="D52" s="25" t="n"/>
      <c r="E52" s="25" t="n"/>
      <c r="F52" s="25" t="n"/>
      <c r="G52" s="25" t="n"/>
    </row>
    <row r="53" ht="18" customHeight="1">
      <c r="A53" s="24" t="n"/>
      <c r="B53" s="24" t="n"/>
      <c r="C53" s="24" t="n"/>
      <c r="D53" s="24" t="n"/>
      <c r="E53" s="24" t="n"/>
      <c r="F53" s="24" t="n"/>
      <c r="G53" s="24" t="n"/>
    </row>
    <row r="54" ht="22" customHeight="1">
      <c r="A54" s="16" t="inlineStr">
        <is>
          <t>TOTAL VARIABLE</t>
        </is>
      </c>
      <c r="D54" s="17">
        <f>SUM(D29:D53)</f>
        <v/>
      </c>
      <c r="E54" s="17">
        <f>SUM(E29:E53)</f>
        <v/>
      </c>
      <c r="F54" s="18" t="n"/>
      <c r="G54" s="18" t="n"/>
    </row>
    <row r="55" ht="8" customHeight="1">
      <c r="A55" s="19" t="n"/>
      <c r="B55" s="19" t="n"/>
      <c r="C55" s="19" t="n"/>
      <c r="D55" s="19" t="n"/>
      <c r="E55" s="19" t="n"/>
      <c r="F55" s="19" t="n"/>
      <c r="G55" s="19" t="n"/>
    </row>
    <row r="56" ht="26" customHeight="1">
      <c r="A56" s="26" t="inlineStr">
        <is>
          <t>💰 BALANCE</t>
        </is>
      </c>
      <c r="D56" s="27">
        <f>D14-D25-D54</f>
        <v/>
      </c>
      <c r="E56" s="27">
        <f>E14-E25-E54</f>
        <v/>
      </c>
      <c r="F56" s="28" t="n"/>
      <c r="G56" s="28" t="n"/>
    </row>
  </sheetData>
  <mergeCells count="16">
    <mergeCell ref="A25:C25"/>
    <mergeCell ref="B21:C21"/>
    <mergeCell ref="B24:C24"/>
    <mergeCell ref="A1:G1"/>
    <mergeCell ref="A27:G27"/>
    <mergeCell ref="A3:G3"/>
    <mergeCell ref="B19:C19"/>
    <mergeCell ref="A14:C14"/>
    <mergeCell ref="B20:C20"/>
    <mergeCell ref="B23:C23"/>
    <mergeCell ref="A56:C56"/>
    <mergeCell ref="A2"/>
    <mergeCell ref="A16:G16"/>
    <mergeCell ref="B22:C22"/>
    <mergeCell ref="B18:C18"/>
    <mergeCell ref="A54:C54"/>
  </mergeCells>
  <dataValidations count="3">
    <dataValidation sqref="F29:F53" showDropDown="0" showInputMessage="0" showErrorMessage="0" allowBlank="1" type="list">
      <formula1>"Food,Transport,Health,Utilities,Entertainment,Tax,Savings,Big Buy,Personal,Other"</formula1>
    </dataValidation>
    <dataValidation sqref="G29:G53" showDropDown="0" showInputMessage="0" showErrorMessage="0" allowBlank="1" type="list">
      <formula1>"Cash ARS,USD Cash,Wise,Binance,MercadoPago,Tarjeta"</formula1>
    </dataValidation>
    <dataValidation sqref="E18:E24" showDropDown="0" showInputMessage="0" showErrorMessage="0" allowBlank="1" type="list">
      <formula1>"Pagado,Pendiente,Auto"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2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 ht="30" customHeight="1">
      <c r="A1" s="1" t="inlineStr">
        <is>
          <t>💸 NOV 2023 — GASTOS MENSUALES</t>
        </is>
      </c>
    </row>
    <row r="2" ht="22" customHeight="1">
      <c r="A2" s="2" t="inlineStr">
        <is>
          <t>USD/ARS</t>
        </is>
      </c>
      <c r="B2" s="3" t="n">
        <v>960</v>
      </c>
      <c r="C2" s="4" t="inlineStr">
        <is>
          <t>← update monthly</t>
        </is>
      </c>
      <c r="D2" s="5" t="n"/>
      <c r="E2" s="5" t="n"/>
      <c r="F2" s="5" t="n"/>
      <c r="G2" s="5" t="n"/>
    </row>
    <row r="3" ht="24" customHeight="1">
      <c r="A3" s="6" t="inlineStr">
        <is>
          <t>▲ INGRESOS</t>
        </is>
      </c>
    </row>
    <row r="4" ht="20" customHeight="1">
      <c r="A4" s="7" t="inlineStr">
        <is>
          <t>#</t>
        </is>
      </c>
      <c r="B4" s="7" t="inlineStr">
        <is>
          <t>Source</t>
        </is>
      </c>
      <c r="C4" s="7" t="inlineStr">
        <is>
          <t>Description</t>
        </is>
      </c>
      <c r="D4" s="7" t="inlineStr">
        <is>
          <t>ARS</t>
        </is>
      </c>
      <c r="E4" s="7" t="inlineStr">
        <is>
          <t>USD</t>
        </is>
      </c>
    </row>
    <row r="5" ht="18" customHeight="1">
      <c r="A5" s="8" t="n">
        <v>1</v>
      </c>
      <c r="B5" s="9" t="inlineStr"/>
      <c r="C5" s="9" t="inlineStr">
        <is>
          <t>D Dani</t>
        </is>
      </c>
      <c r="D5" s="10" t="n">
        <v>500000</v>
      </c>
      <c r="E5" s="10" t="n">
        <v>500</v>
      </c>
      <c r="F5" s="11" t="n"/>
      <c r="G5" s="11" t="n"/>
    </row>
    <row r="6" ht="18" customHeight="1">
      <c r="A6" s="12" t="n">
        <v>2</v>
      </c>
      <c r="B6" s="13" t="inlineStr"/>
      <c r="C6" s="13" t="inlineStr">
        <is>
          <t>R Oakley</t>
        </is>
      </c>
      <c r="D6" s="14" t="n">
        <v>140000</v>
      </c>
      <c r="E6" s="14" t="n">
        <v>145.83</v>
      </c>
      <c r="F6" s="15" t="n"/>
      <c r="G6" s="15" t="n"/>
    </row>
    <row r="7" ht="18" customHeight="1">
      <c r="A7" s="8" t="n">
        <v>3</v>
      </c>
      <c r="B7" s="9" t="inlineStr"/>
      <c r="C7" s="9" t="inlineStr">
        <is>
          <t>F Feba</t>
        </is>
      </c>
      <c r="D7" s="10" t="n">
        <v>120000</v>
      </c>
      <c r="E7" s="10" t="n">
        <v>125</v>
      </c>
      <c r="F7" s="11" t="n"/>
      <c r="G7" s="11" t="n"/>
    </row>
    <row r="8" ht="18" customHeight="1">
      <c r="A8" s="12" t="n">
        <v>4</v>
      </c>
      <c r="B8" s="13" t="inlineStr"/>
      <c r="C8" s="13" t="inlineStr">
        <is>
          <t>R Remera boca</t>
        </is>
      </c>
      <c r="D8" s="14" t="n">
        <v>5000</v>
      </c>
      <c r="E8" s="14" t="n">
        <v>5.21</v>
      </c>
      <c r="F8" s="15" t="n"/>
      <c r="G8" s="15" t="n"/>
    </row>
    <row r="9" ht="18" customHeight="1">
      <c r="A9" s="8" t="n">
        <v>5</v>
      </c>
      <c r="B9" s="9" t="inlineStr"/>
      <c r="C9" s="9" t="inlineStr">
        <is>
          <t>R Zapatillas nike</t>
        </is>
      </c>
      <c r="D9" s="10" t="n">
        <v>40000</v>
      </c>
      <c r="E9" s="10" t="n">
        <v>41.67</v>
      </c>
      <c r="F9" s="11" t="n"/>
      <c r="G9" s="11" t="n"/>
    </row>
    <row r="10" ht="22" customHeight="1">
      <c r="A10" s="16" t="inlineStr">
        <is>
          <t>TOTAL INGRESOS</t>
        </is>
      </c>
      <c r="D10" s="17">
        <f>SUM(D5:D9)</f>
        <v/>
      </c>
      <c r="E10" s="17">
        <f>SUM(E5:E9)</f>
        <v/>
      </c>
      <c r="F10" s="18" t="n"/>
      <c r="G10" s="18" t="n"/>
    </row>
    <row r="11" ht="8" customHeight="1">
      <c r="A11" s="19" t="n"/>
      <c r="B11" s="19" t="n"/>
      <c r="C11" s="19" t="n"/>
      <c r="D11" s="19" t="n"/>
      <c r="E11" s="19" t="n"/>
      <c r="F11" s="19" t="n"/>
      <c r="G11" s="19" t="n"/>
    </row>
    <row r="12" ht="24" customHeight="1">
      <c r="A12" s="20" t="inlineStr">
        <is>
          <t>▼ EGRESOS FIJOS</t>
        </is>
      </c>
    </row>
    <row r="13" ht="20" customHeight="1">
      <c r="A13" s="21" t="inlineStr">
        <is>
          <t>#</t>
        </is>
      </c>
      <c r="B13" s="21" t="inlineStr">
        <is>
          <t>Description</t>
        </is>
      </c>
      <c r="C13" s="21" t="inlineStr">
        <is>
          <t>ARS</t>
        </is>
      </c>
      <c r="D13" s="21" t="inlineStr">
        <is>
          <t>USD</t>
        </is>
      </c>
      <c r="E13" s="21" t="inlineStr">
        <is>
          <t>Status</t>
        </is>
      </c>
      <c r="F13" s="21" t="inlineStr"/>
      <c r="G13" s="21" t="inlineStr"/>
    </row>
    <row r="14" ht="18" customHeight="1">
      <c r="A14" s="8" t="n">
        <v>1</v>
      </c>
      <c r="B14" s="9" t="inlineStr">
        <is>
          <t>HSBC</t>
        </is>
      </c>
      <c r="D14" s="10" t="n">
        <v>275000</v>
      </c>
      <c r="E14" s="10" t="n">
        <v>275</v>
      </c>
      <c r="F14" s="9" t="inlineStr">
        <is>
          <t>Pendiente</t>
        </is>
      </c>
      <c r="G14" s="11" t="n"/>
    </row>
    <row r="15" ht="18" customHeight="1">
      <c r="A15" s="12" t="n">
        <v>2</v>
      </c>
      <c r="B15" s="13" t="inlineStr">
        <is>
          <t>Expensas + Estela</t>
        </is>
      </c>
      <c r="D15" s="14" t="n">
        <v>67000</v>
      </c>
      <c r="E15" s="14" t="n">
        <v>67.68000000000001</v>
      </c>
      <c r="F15" s="13" t="inlineStr"/>
      <c r="G15" s="15" t="n"/>
    </row>
    <row r="16" ht="18" customHeight="1">
      <c r="A16" s="8" t="n">
        <v>3</v>
      </c>
      <c r="B16" s="9" t="inlineStr">
        <is>
          <t>Gali Prestamo</t>
        </is>
      </c>
      <c r="D16" s="10" t="n">
        <v>15500</v>
      </c>
      <c r="E16" s="10" t="n">
        <v>15.66</v>
      </c>
      <c r="F16" s="9" t="inlineStr">
        <is>
          <t>Pagado</t>
        </is>
      </c>
      <c r="G16" s="11" t="n"/>
    </row>
    <row r="17" ht="22" customHeight="1">
      <c r="A17" s="16" t="inlineStr">
        <is>
          <t>TOTAL FIJOS</t>
        </is>
      </c>
      <c r="D17" s="17">
        <f>SUM(D14:D16)</f>
        <v/>
      </c>
      <c r="E17" s="17">
        <f>SUM(E14:E16)</f>
        <v/>
      </c>
      <c r="F17" s="18" t="n"/>
      <c r="G17" s="18" t="n"/>
    </row>
    <row r="18" ht="8" customHeight="1">
      <c r="A18" s="19" t="n"/>
      <c r="B18" s="19" t="n"/>
      <c r="C18" s="19" t="n"/>
      <c r="D18" s="19" t="n"/>
      <c r="E18" s="19" t="n"/>
      <c r="F18" s="19" t="n"/>
      <c r="G18" s="19" t="n"/>
    </row>
    <row r="19" ht="24" customHeight="1">
      <c r="A19" s="22" t="inlineStr">
        <is>
          <t>📋 GASTOS DEL MES</t>
        </is>
      </c>
    </row>
    <row r="20" ht="20" customHeight="1">
      <c r="A20" s="23" t="inlineStr">
        <is>
          <t>#</t>
        </is>
      </c>
      <c r="B20" s="23" t="inlineStr">
        <is>
          <t>Date</t>
        </is>
      </c>
      <c r="C20" s="23" t="inlineStr">
        <is>
          <t>Description</t>
        </is>
      </c>
      <c r="D20" s="23" t="inlineStr">
        <is>
          <t>ARS</t>
        </is>
      </c>
      <c r="E20" s="23" t="inlineStr">
        <is>
          <t>USD</t>
        </is>
      </c>
      <c r="F20" s="23" t="inlineStr">
        <is>
          <t>Category</t>
        </is>
      </c>
      <c r="G20" s="23" t="inlineStr">
        <is>
          <t>Payment</t>
        </is>
      </c>
    </row>
    <row r="21" ht="18" customHeight="1">
      <c r="A21" s="8" t="n">
        <v>1</v>
      </c>
      <c r="B21" s="8" t="inlineStr">
        <is>
          <t>01</t>
        </is>
      </c>
      <c r="C21" s="9" t="inlineStr">
        <is>
          <t>Remera Real Madrid</t>
        </is>
      </c>
      <c r="D21" s="10" t="n">
        <v>8500</v>
      </c>
      <c r="E21" s="10" t="n">
        <v>8.85</v>
      </c>
      <c r="F21" s="9" t="inlineStr"/>
      <c r="G21" s="9" t="inlineStr"/>
    </row>
    <row r="22" ht="18" customHeight="1">
      <c r="A22" s="12" t="n">
        <v>2</v>
      </c>
      <c r="B22" s="12" t="inlineStr">
        <is>
          <t>02</t>
        </is>
      </c>
      <c r="C22" s="13" t="inlineStr">
        <is>
          <t>Non Parei 1kg</t>
        </is>
      </c>
      <c r="D22" s="14" t="n">
        <v>7000</v>
      </c>
      <c r="E22" s="14" t="n">
        <v>7.29</v>
      </c>
      <c r="F22" s="13" t="inlineStr"/>
      <c r="G22" s="13" t="inlineStr"/>
    </row>
    <row r="23" ht="18" customHeight="1">
      <c r="A23" s="8" t="n">
        <v>3</v>
      </c>
      <c r="B23" s="8" t="inlineStr">
        <is>
          <t>03</t>
        </is>
      </c>
      <c r="C23" s="9" t="inlineStr">
        <is>
          <t>Comida x2</t>
        </is>
      </c>
      <c r="D23" s="10" t="n">
        <v>4000</v>
      </c>
      <c r="E23" s="10" t="n">
        <v>4.17</v>
      </c>
      <c r="F23" s="9" t="inlineStr"/>
      <c r="G23" s="9" t="inlineStr"/>
    </row>
    <row r="24" ht="18" customHeight="1">
      <c r="A24" s="12" t="n">
        <v>4</v>
      </c>
      <c r="B24" s="12" t="inlineStr">
        <is>
          <t>05</t>
        </is>
      </c>
      <c r="C24" s="13" t="inlineStr">
        <is>
          <t>Pizza</t>
        </is>
      </c>
      <c r="D24" s="14" t="n">
        <v>3500</v>
      </c>
      <c r="E24" s="14" t="n">
        <v>3.65</v>
      </c>
      <c r="F24" s="13" t="inlineStr"/>
      <c r="G24" s="13" t="inlineStr"/>
    </row>
    <row r="25" ht="18" customHeight="1">
      <c r="A25" s="8" t="n">
        <v>5</v>
      </c>
      <c r="B25" s="8" t="inlineStr">
        <is>
          <t>08</t>
        </is>
      </c>
      <c r="C25" s="9" t="inlineStr">
        <is>
          <t>Sanguche</t>
        </is>
      </c>
      <c r="D25" s="10" t="n">
        <v>2500</v>
      </c>
      <c r="E25" s="10" t="n">
        <v>2.6</v>
      </c>
      <c r="F25" s="9" t="inlineStr"/>
      <c r="G25" s="9" t="inlineStr"/>
    </row>
    <row r="26" ht="18" customHeight="1">
      <c r="A26" s="12" t="n">
        <v>6</v>
      </c>
      <c r="B26" s="12" t="inlineStr">
        <is>
          <t>12</t>
        </is>
      </c>
      <c r="C26" s="13" t="inlineStr">
        <is>
          <t>Kiosco</t>
        </is>
      </c>
      <c r="D26" s="14" t="n">
        <v>3000</v>
      </c>
      <c r="E26" s="14" t="n">
        <v>3.13</v>
      </c>
      <c r="F26" s="13" t="inlineStr"/>
      <c r="G26" s="13" t="inlineStr"/>
    </row>
    <row r="27" ht="18" customHeight="1">
      <c r="A27" s="8" t="n">
        <v>7</v>
      </c>
      <c r="B27" s="8" t="inlineStr">
        <is>
          <t>15</t>
        </is>
      </c>
      <c r="C27" s="9" t="inlineStr">
        <is>
          <t>Almuerzo</t>
        </is>
      </c>
      <c r="D27" s="10" t="n">
        <v>5000</v>
      </c>
      <c r="E27" s="10" t="n">
        <v>5.21</v>
      </c>
      <c r="F27" s="9" t="inlineStr"/>
      <c r="G27" s="9" t="inlineStr"/>
    </row>
    <row r="28" ht="18" customHeight="1">
      <c r="A28" s="25" t="n"/>
      <c r="B28" s="25" t="n"/>
      <c r="C28" s="25" t="n"/>
      <c r="D28" s="25" t="n"/>
      <c r="E28" s="25" t="n"/>
      <c r="F28" s="25" t="n"/>
      <c r="G28" s="25" t="n"/>
    </row>
    <row r="29" ht="18" customHeight="1">
      <c r="A29" s="24" t="n"/>
      <c r="B29" s="24" t="n"/>
      <c r="C29" s="24" t="n"/>
      <c r="D29" s="24" t="n"/>
      <c r="E29" s="24" t="n"/>
      <c r="F29" s="24" t="n"/>
      <c r="G29" s="24" t="n"/>
    </row>
    <row r="30" ht="18" customHeight="1">
      <c r="A30" s="25" t="n"/>
      <c r="B30" s="25" t="n"/>
      <c r="C30" s="25" t="n"/>
      <c r="D30" s="25" t="n"/>
      <c r="E30" s="25" t="n"/>
      <c r="F30" s="25" t="n"/>
      <c r="G30" s="25" t="n"/>
    </row>
    <row r="31" ht="18" customHeight="1">
      <c r="A31" s="24" t="n"/>
      <c r="B31" s="24" t="n"/>
      <c r="C31" s="24" t="n"/>
      <c r="D31" s="24" t="n"/>
      <c r="E31" s="24" t="n"/>
      <c r="F31" s="24" t="n"/>
      <c r="G31" s="24" t="n"/>
    </row>
    <row r="32" ht="18" customHeight="1">
      <c r="A32" s="25" t="n"/>
      <c r="B32" s="25" t="n"/>
      <c r="C32" s="25" t="n"/>
      <c r="D32" s="25" t="n"/>
      <c r="E32" s="25" t="n"/>
      <c r="F32" s="25" t="n"/>
      <c r="G32" s="25" t="n"/>
    </row>
    <row r="33" ht="18" customHeight="1">
      <c r="A33" s="24" t="n"/>
      <c r="B33" s="24" t="n"/>
      <c r="C33" s="24" t="n"/>
      <c r="D33" s="24" t="n"/>
      <c r="E33" s="24" t="n"/>
      <c r="F33" s="24" t="n"/>
      <c r="G33" s="24" t="n"/>
    </row>
    <row r="34" ht="18" customHeight="1">
      <c r="A34" s="25" t="n"/>
      <c r="B34" s="25" t="n"/>
      <c r="C34" s="25" t="n"/>
      <c r="D34" s="25" t="n"/>
      <c r="E34" s="25" t="n"/>
      <c r="F34" s="25" t="n"/>
      <c r="G34" s="25" t="n"/>
    </row>
    <row r="35" ht="18" customHeight="1">
      <c r="A35" s="24" t="n"/>
      <c r="B35" s="24" t="n"/>
      <c r="C35" s="24" t="n"/>
      <c r="D35" s="24" t="n"/>
      <c r="E35" s="24" t="n"/>
      <c r="F35" s="24" t="n"/>
      <c r="G35" s="24" t="n"/>
    </row>
    <row r="36" ht="18" customHeight="1">
      <c r="A36" s="25" t="n"/>
      <c r="B36" s="25" t="n"/>
      <c r="C36" s="25" t="n"/>
      <c r="D36" s="25" t="n"/>
      <c r="E36" s="25" t="n"/>
      <c r="F36" s="25" t="n"/>
      <c r="G36" s="25" t="n"/>
    </row>
    <row r="37" ht="18" customHeight="1">
      <c r="A37" s="24" t="n"/>
      <c r="B37" s="24" t="n"/>
      <c r="C37" s="24" t="n"/>
      <c r="D37" s="24" t="n"/>
      <c r="E37" s="24" t="n"/>
      <c r="F37" s="24" t="n"/>
      <c r="G37" s="24" t="n"/>
    </row>
    <row r="38" ht="18" customHeight="1">
      <c r="A38" s="25" t="n"/>
      <c r="B38" s="25" t="n"/>
      <c r="C38" s="25" t="n"/>
      <c r="D38" s="25" t="n"/>
      <c r="E38" s="25" t="n"/>
      <c r="F38" s="25" t="n"/>
      <c r="G38" s="25" t="n"/>
    </row>
    <row r="39" ht="18" customHeight="1">
      <c r="A39" s="24" t="n"/>
      <c r="B39" s="24" t="n"/>
      <c r="C39" s="24" t="n"/>
      <c r="D39" s="24" t="n"/>
      <c r="E39" s="24" t="n"/>
      <c r="F39" s="24" t="n"/>
      <c r="G39" s="24" t="n"/>
    </row>
    <row r="40" ht="18" customHeight="1">
      <c r="A40" s="25" t="n"/>
      <c r="B40" s="25" t="n"/>
      <c r="C40" s="25" t="n"/>
      <c r="D40" s="25" t="n"/>
      <c r="E40" s="25" t="n"/>
      <c r="F40" s="25" t="n"/>
      <c r="G40" s="25" t="n"/>
    </row>
    <row r="41" ht="18" customHeight="1">
      <c r="A41" s="24" t="n"/>
      <c r="B41" s="24" t="n"/>
      <c r="C41" s="24" t="n"/>
      <c r="D41" s="24" t="n"/>
      <c r="E41" s="24" t="n"/>
      <c r="F41" s="24" t="n"/>
      <c r="G41" s="24" t="n"/>
    </row>
    <row r="42" ht="18" customHeight="1">
      <c r="A42" s="25" t="n"/>
      <c r="B42" s="25" t="n"/>
      <c r="C42" s="25" t="n"/>
      <c r="D42" s="25" t="n"/>
      <c r="E42" s="25" t="n"/>
      <c r="F42" s="25" t="n"/>
      <c r="G42" s="25" t="n"/>
    </row>
    <row r="43" ht="18" customHeight="1">
      <c r="A43" s="24" t="n"/>
      <c r="B43" s="24" t="n"/>
      <c r="C43" s="24" t="n"/>
      <c r="D43" s="24" t="n"/>
      <c r="E43" s="24" t="n"/>
      <c r="F43" s="24" t="n"/>
      <c r="G43" s="24" t="n"/>
    </row>
    <row r="44" ht="18" customHeight="1">
      <c r="A44" s="25" t="n"/>
      <c r="B44" s="25" t="n"/>
      <c r="C44" s="25" t="n"/>
      <c r="D44" s="25" t="n"/>
      <c r="E44" s="25" t="n"/>
      <c r="F44" s="25" t="n"/>
      <c r="G44" s="25" t="n"/>
    </row>
    <row r="45" ht="18" customHeight="1">
      <c r="A45" s="24" t="n"/>
      <c r="B45" s="24" t="n"/>
      <c r="C45" s="24" t="n"/>
      <c r="D45" s="24" t="n"/>
      <c r="E45" s="24" t="n"/>
      <c r="F45" s="24" t="n"/>
      <c r="G45" s="24" t="n"/>
    </row>
    <row r="46" ht="22" customHeight="1">
      <c r="A46" s="16" t="inlineStr">
        <is>
          <t>TOTAL VARIABLE</t>
        </is>
      </c>
      <c r="D46" s="17">
        <f>SUM(D21:D45)</f>
        <v/>
      </c>
      <c r="E46" s="17">
        <f>SUM(E21:E45)</f>
        <v/>
      </c>
      <c r="F46" s="18" t="n"/>
      <c r="G46" s="18" t="n"/>
    </row>
    <row r="47" ht="8" customHeight="1">
      <c r="A47" s="19" t="n"/>
      <c r="B47" s="19" t="n"/>
      <c r="C47" s="19" t="n"/>
      <c r="D47" s="19" t="n"/>
      <c r="E47" s="19" t="n"/>
      <c r="F47" s="19" t="n"/>
      <c r="G47" s="19" t="n"/>
    </row>
    <row r="48" ht="26" customHeight="1">
      <c r="A48" s="26" t="inlineStr">
        <is>
          <t>💰 BALANCE</t>
        </is>
      </c>
      <c r="D48" s="27">
        <f>D10-D17-D46</f>
        <v/>
      </c>
      <c r="E48" s="27">
        <f>E10-E17-E46</f>
        <v/>
      </c>
      <c r="F48" s="28" t="n"/>
      <c r="G48" s="28" t="n"/>
    </row>
  </sheetData>
  <mergeCells count="12">
    <mergeCell ref="A10:C10"/>
    <mergeCell ref="A48:C48"/>
    <mergeCell ref="B16:C16"/>
    <mergeCell ref="A1:G1"/>
    <mergeCell ref="B15:C15"/>
    <mergeCell ref="A46:C46"/>
    <mergeCell ref="A3:G3"/>
    <mergeCell ref="A12:G12"/>
    <mergeCell ref="A17:C17"/>
    <mergeCell ref="A2"/>
    <mergeCell ref="B14:C14"/>
    <mergeCell ref="A19:G19"/>
  </mergeCells>
  <dataValidations count="3">
    <dataValidation sqref="F21:F45" showDropDown="0" showInputMessage="0" showErrorMessage="0" allowBlank="1" type="list">
      <formula1>"Food,Transport,Health,Utilities,Entertainment,Tax,Savings,Big Buy,Personal,Other"</formula1>
    </dataValidation>
    <dataValidation sqref="G21:G45" showDropDown="0" showInputMessage="0" showErrorMessage="0" allowBlank="1" type="list">
      <formula1>"Cash ARS,USD Cash,Wise,Binance,MercadoPago,Tarjeta"</formula1>
    </dataValidation>
    <dataValidation sqref="E14:E16" showDropDown="0" showInputMessage="0" showErrorMessage="0" allowBlank="1" type="list">
      <formula1>"Pagado,Pendiente,Auto"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2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 ht="30" customHeight="1">
      <c r="A1" s="1" t="inlineStr">
        <is>
          <t>💸 DEC 2023 — GASTOS MENSUALES</t>
        </is>
      </c>
    </row>
    <row r="2" ht="22" customHeight="1">
      <c r="A2" s="2" t="inlineStr">
        <is>
          <t>USD/ARS</t>
        </is>
      </c>
      <c r="B2" s="3" t="n">
        <v>960</v>
      </c>
      <c r="C2" s="4" t="inlineStr">
        <is>
          <t>← update monthly</t>
        </is>
      </c>
      <c r="D2" s="5" t="n"/>
      <c r="E2" s="5" t="n"/>
      <c r="F2" s="5" t="n"/>
      <c r="G2" s="5" t="n"/>
    </row>
    <row r="3" ht="24" customHeight="1">
      <c r="A3" s="6" t="inlineStr">
        <is>
          <t>▲ INGRESOS</t>
        </is>
      </c>
    </row>
    <row r="4" ht="20" customHeight="1">
      <c r="A4" s="7" t="inlineStr">
        <is>
          <t>#</t>
        </is>
      </c>
      <c r="B4" s="7" t="inlineStr">
        <is>
          <t>Source</t>
        </is>
      </c>
      <c r="C4" s="7" t="inlineStr">
        <is>
          <t>Description</t>
        </is>
      </c>
      <c r="D4" s="7" t="inlineStr">
        <is>
          <t>ARS</t>
        </is>
      </c>
      <c r="E4" s="7" t="inlineStr">
        <is>
          <t>USD</t>
        </is>
      </c>
    </row>
    <row r="5" ht="18" customHeight="1">
      <c r="A5" s="8" t="n">
        <v>1</v>
      </c>
      <c r="B5" s="9" t="inlineStr"/>
      <c r="C5" s="9" t="inlineStr">
        <is>
          <t>D Dani</t>
        </is>
      </c>
      <c r="D5" s="10" t="n">
        <v>500000</v>
      </c>
      <c r="E5" s="10" t="n">
        <v>500</v>
      </c>
      <c r="F5" s="11" t="n"/>
      <c r="G5" s="11" t="n"/>
    </row>
    <row r="6" ht="18" customHeight="1">
      <c r="A6" s="12" t="n">
        <v>2</v>
      </c>
      <c r="B6" s="13" t="inlineStr"/>
      <c r="C6" s="13" t="inlineStr">
        <is>
          <t>A Airbnb</t>
        </is>
      </c>
      <c r="D6" s="14" t="n">
        <v>50000</v>
      </c>
      <c r="E6" s="14" t="n">
        <v>50</v>
      </c>
      <c r="F6" s="15" t="n"/>
      <c r="G6" s="15" t="n"/>
    </row>
    <row r="7" ht="18" customHeight="1">
      <c r="A7" s="8" t="n">
        <v>3</v>
      </c>
      <c r="B7" s="9" t="inlineStr"/>
      <c r="C7" s="9" t="inlineStr">
        <is>
          <t>A BETA 11 al 15</t>
        </is>
      </c>
      <c r="D7" s="10" t="n">
        <v>140000</v>
      </c>
      <c r="E7" s="10" t="n">
        <v>140</v>
      </c>
      <c r="F7" s="11" t="n"/>
      <c r="G7" s="11" t="n"/>
    </row>
    <row r="8" ht="22" customHeight="1">
      <c r="A8" s="16" t="inlineStr">
        <is>
          <t>TOTAL INGRESOS</t>
        </is>
      </c>
      <c r="D8" s="17">
        <f>SUM(D5:D7)</f>
        <v/>
      </c>
      <c r="E8" s="17">
        <f>SUM(E5:E7)</f>
        <v/>
      </c>
      <c r="F8" s="18" t="n"/>
      <c r="G8" s="18" t="n"/>
    </row>
    <row r="9" ht="8" customHeight="1">
      <c r="A9" s="19" t="n"/>
      <c r="B9" s="19" t="n"/>
      <c r="C9" s="19" t="n"/>
      <c r="D9" s="19" t="n"/>
      <c r="E9" s="19" t="n"/>
      <c r="F9" s="19" t="n"/>
      <c r="G9" s="19" t="n"/>
    </row>
    <row r="10" ht="24" customHeight="1">
      <c r="A10" s="20" t="inlineStr">
        <is>
          <t>▼ EGRESOS FIJOS</t>
        </is>
      </c>
    </row>
    <row r="11" ht="20" customHeight="1">
      <c r="A11" s="21" t="inlineStr">
        <is>
          <t>#</t>
        </is>
      </c>
      <c r="B11" s="21" t="inlineStr">
        <is>
          <t>Description</t>
        </is>
      </c>
      <c r="C11" s="21" t="inlineStr">
        <is>
          <t>ARS</t>
        </is>
      </c>
      <c r="D11" s="21" t="inlineStr">
        <is>
          <t>USD</t>
        </is>
      </c>
      <c r="E11" s="21" t="inlineStr">
        <is>
          <t>Status</t>
        </is>
      </c>
      <c r="F11" s="21" t="inlineStr"/>
      <c r="G11" s="21" t="inlineStr"/>
    </row>
    <row r="12" ht="18" customHeight="1">
      <c r="A12" s="8" t="n">
        <v>1</v>
      </c>
      <c r="B12" s="9" t="inlineStr">
        <is>
          <t>HSBC</t>
        </is>
      </c>
      <c r="D12" s="10" t="n">
        <v>275000</v>
      </c>
      <c r="E12" s="10" t="n">
        <v>275</v>
      </c>
      <c r="F12" s="9" t="inlineStr"/>
      <c r="G12" s="11" t="n"/>
    </row>
    <row r="13" ht="18" customHeight="1">
      <c r="A13" s="12" t="n">
        <v>2</v>
      </c>
      <c r="B13" s="13" t="inlineStr">
        <is>
          <t>Expensas + Estela</t>
        </is>
      </c>
      <c r="D13" s="14" t="n">
        <v>67000</v>
      </c>
      <c r="E13" s="14" t="n">
        <v>67.68000000000001</v>
      </c>
      <c r="F13" s="13" t="inlineStr"/>
      <c r="G13" s="15" t="n"/>
    </row>
    <row r="14" ht="18" customHeight="1">
      <c r="A14" s="8" t="n">
        <v>3</v>
      </c>
      <c r="B14" s="9" t="inlineStr">
        <is>
          <t>Gali Prestamo</t>
        </is>
      </c>
      <c r="D14" s="10" t="n">
        <v>15500</v>
      </c>
      <c r="E14" s="10" t="n">
        <v>15.66</v>
      </c>
      <c r="F14" s="9" t="inlineStr"/>
      <c r="G14" s="11" t="n"/>
    </row>
    <row r="15" ht="22" customHeight="1">
      <c r="A15" s="16" t="inlineStr">
        <is>
          <t>TOTAL FIJOS</t>
        </is>
      </c>
      <c r="D15" s="17">
        <f>SUM(D12:D14)</f>
        <v/>
      </c>
      <c r="E15" s="17">
        <f>SUM(E12:E14)</f>
        <v/>
      </c>
      <c r="F15" s="18" t="n"/>
      <c r="G15" s="18" t="n"/>
    </row>
    <row r="16" ht="8" customHeight="1">
      <c r="A16" s="19" t="n"/>
      <c r="B16" s="19" t="n"/>
      <c r="C16" s="19" t="n"/>
      <c r="D16" s="19" t="n"/>
      <c r="E16" s="19" t="n"/>
      <c r="F16" s="19" t="n"/>
      <c r="G16" s="19" t="n"/>
    </row>
    <row r="17" ht="24" customHeight="1">
      <c r="A17" s="22" t="inlineStr">
        <is>
          <t>📋 GASTOS DEL MES</t>
        </is>
      </c>
    </row>
    <row r="18" ht="20" customHeight="1">
      <c r="A18" s="23" t="inlineStr">
        <is>
          <t>#</t>
        </is>
      </c>
      <c r="B18" s="23" t="inlineStr">
        <is>
          <t>Date</t>
        </is>
      </c>
      <c r="C18" s="23" t="inlineStr">
        <is>
          <t>Description</t>
        </is>
      </c>
      <c r="D18" s="23" t="inlineStr">
        <is>
          <t>ARS</t>
        </is>
      </c>
      <c r="E18" s="23" t="inlineStr">
        <is>
          <t>USD</t>
        </is>
      </c>
      <c r="F18" s="23" t="inlineStr">
        <is>
          <t>Category</t>
        </is>
      </c>
      <c r="G18" s="23" t="inlineStr">
        <is>
          <t>Payment</t>
        </is>
      </c>
    </row>
    <row r="19" ht="18" customHeight="1">
      <c r="A19" s="8" t="n">
        <v>1</v>
      </c>
      <c r="B19" s="8" t="inlineStr">
        <is>
          <t>01</t>
        </is>
      </c>
      <c r="C19" s="9" t="inlineStr">
        <is>
          <t>Didi cumple pen</t>
        </is>
      </c>
      <c r="D19" s="10" t="n">
        <v>2500</v>
      </c>
      <c r="E19" s="10" t="n">
        <v>2.6</v>
      </c>
      <c r="F19" s="9" t="inlineStr"/>
      <c r="G19" s="9" t="inlineStr"/>
    </row>
    <row r="20" ht="18" customHeight="1">
      <c r="A20" s="12" t="n">
        <v>2</v>
      </c>
      <c r="B20" s="12" t="inlineStr">
        <is>
          <t>02</t>
        </is>
      </c>
      <c r="C20" s="13" t="inlineStr">
        <is>
          <t>Sang Vacio</t>
        </is>
      </c>
      <c r="D20" s="14" t="n">
        <v>3000</v>
      </c>
      <c r="E20" s="14" t="n">
        <v>3.12</v>
      </c>
      <c r="F20" s="13" t="inlineStr"/>
      <c r="G20" s="13" t="inlineStr"/>
    </row>
    <row r="21" ht="18" customHeight="1">
      <c r="A21" s="8" t="n">
        <v>3</v>
      </c>
      <c r="B21" s="8" t="inlineStr">
        <is>
          <t>03</t>
        </is>
      </c>
      <c r="C21" s="9" t="inlineStr">
        <is>
          <t>Emp Crazy che</t>
        </is>
      </c>
      <c r="D21" s="10" t="n">
        <v>3200</v>
      </c>
      <c r="E21" s="10" t="n">
        <v>3.33</v>
      </c>
      <c r="F21" s="9" t="inlineStr"/>
      <c r="G21" s="9" t="inlineStr"/>
    </row>
    <row r="22" ht="18" customHeight="1">
      <c r="A22" s="12" t="n">
        <v>4</v>
      </c>
      <c r="B22" s="12" t="inlineStr">
        <is>
          <t>05</t>
        </is>
      </c>
      <c r="C22" s="13" t="inlineStr">
        <is>
          <t>Kiosco</t>
        </is>
      </c>
      <c r="D22" s="14" t="n">
        <v>2000</v>
      </c>
      <c r="E22" s="14" t="n">
        <v>2.08</v>
      </c>
      <c r="F22" s="13" t="inlineStr"/>
      <c r="G22" s="13" t="inlineStr"/>
    </row>
    <row r="23" ht="18" customHeight="1">
      <c r="A23" s="8" t="n">
        <v>5</v>
      </c>
      <c r="B23" s="8" t="inlineStr">
        <is>
          <t>10</t>
        </is>
      </c>
      <c r="C23" s="9" t="inlineStr">
        <is>
          <t>Comida x2</t>
        </is>
      </c>
      <c r="D23" s="10" t="n">
        <v>8000</v>
      </c>
      <c r="E23" s="10" t="n">
        <v>8.33</v>
      </c>
      <c r="F23" s="9" t="inlineStr"/>
      <c r="G23" s="9" t="inlineStr"/>
    </row>
    <row r="24" ht="18" customHeight="1">
      <c r="A24" s="12" t="n">
        <v>6</v>
      </c>
      <c r="B24" s="12" t="inlineStr">
        <is>
          <t>15</t>
        </is>
      </c>
      <c r="C24" s="13" t="inlineStr">
        <is>
          <t>Almuerzo</t>
        </is>
      </c>
      <c r="D24" s="14" t="n">
        <v>5000</v>
      </c>
      <c r="E24" s="14" t="n">
        <v>5.21</v>
      </c>
      <c r="F24" s="13" t="inlineStr"/>
      <c r="G24" s="13" t="inlineStr"/>
    </row>
    <row r="25" ht="18" customHeight="1">
      <c r="A25" s="8" t="n">
        <v>7</v>
      </c>
      <c r="B25" s="8" t="inlineStr">
        <is>
          <t>20</t>
        </is>
      </c>
      <c r="C25" s="9" t="inlineStr">
        <is>
          <t>Cerveza</t>
        </is>
      </c>
      <c r="D25" s="10" t="n">
        <v>3000</v>
      </c>
      <c r="E25" s="10" t="n">
        <v>3.12</v>
      </c>
      <c r="F25" s="9" t="inlineStr"/>
      <c r="G25" s="9" t="inlineStr"/>
    </row>
    <row r="26" ht="18" customHeight="1">
      <c r="A26" s="25" t="n"/>
      <c r="B26" s="25" t="n"/>
      <c r="C26" s="25" t="n"/>
      <c r="D26" s="25" t="n"/>
      <c r="E26" s="25" t="n"/>
      <c r="F26" s="25" t="n"/>
      <c r="G26" s="25" t="n"/>
    </row>
    <row r="27" ht="18" customHeight="1">
      <c r="A27" s="24" t="n"/>
      <c r="B27" s="24" t="n"/>
      <c r="C27" s="24" t="n"/>
      <c r="D27" s="24" t="n"/>
      <c r="E27" s="24" t="n"/>
      <c r="F27" s="24" t="n"/>
      <c r="G27" s="24" t="n"/>
    </row>
    <row r="28" ht="18" customHeight="1">
      <c r="A28" s="25" t="n"/>
      <c r="B28" s="25" t="n"/>
      <c r="C28" s="25" t="n"/>
      <c r="D28" s="25" t="n"/>
      <c r="E28" s="25" t="n"/>
      <c r="F28" s="25" t="n"/>
      <c r="G28" s="25" t="n"/>
    </row>
    <row r="29" ht="18" customHeight="1">
      <c r="A29" s="24" t="n"/>
      <c r="B29" s="24" t="n"/>
      <c r="C29" s="24" t="n"/>
      <c r="D29" s="24" t="n"/>
      <c r="E29" s="24" t="n"/>
      <c r="F29" s="24" t="n"/>
      <c r="G29" s="24" t="n"/>
    </row>
    <row r="30" ht="18" customHeight="1">
      <c r="A30" s="25" t="n"/>
      <c r="B30" s="25" t="n"/>
      <c r="C30" s="25" t="n"/>
      <c r="D30" s="25" t="n"/>
      <c r="E30" s="25" t="n"/>
      <c r="F30" s="25" t="n"/>
      <c r="G30" s="25" t="n"/>
    </row>
    <row r="31" ht="18" customHeight="1">
      <c r="A31" s="24" t="n"/>
      <c r="B31" s="24" t="n"/>
      <c r="C31" s="24" t="n"/>
      <c r="D31" s="24" t="n"/>
      <c r="E31" s="24" t="n"/>
      <c r="F31" s="24" t="n"/>
      <c r="G31" s="24" t="n"/>
    </row>
    <row r="32" ht="18" customHeight="1">
      <c r="A32" s="25" t="n"/>
      <c r="B32" s="25" t="n"/>
      <c r="C32" s="25" t="n"/>
      <c r="D32" s="25" t="n"/>
      <c r="E32" s="25" t="n"/>
      <c r="F32" s="25" t="n"/>
      <c r="G32" s="25" t="n"/>
    </row>
    <row r="33" ht="18" customHeight="1">
      <c r="A33" s="24" t="n"/>
      <c r="B33" s="24" t="n"/>
      <c r="C33" s="24" t="n"/>
      <c r="D33" s="24" t="n"/>
      <c r="E33" s="24" t="n"/>
      <c r="F33" s="24" t="n"/>
      <c r="G33" s="24" t="n"/>
    </row>
    <row r="34" ht="18" customHeight="1">
      <c r="A34" s="25" t="n"/>
      <c r="B34" s="25" t="n"/>
      <c r="C34" s="25" t="n"/>
      <c r="D34" s="25" t="n"/>
      <c r="E34" s="25" t="n"/>
      <c r="F34" s="25" t="n"/>
      <c r="G34" s="25" t="n"/>
    </row>
    <row r="35" ht="18" customHeight="1">
      <c r="A35" s="24" t="n"/>
      <c r="B35" s="24" t="n"/>
      <c r="C35" s="24" t="n"/>
      <c r="D35" s="24" t="n"/>
      <c r="E35" s="24" t="n"/>
      <c r="F35" s="24" t="n"/>
      <c r="G35" s="24" t="n"/>
    </row>
    <row r="36" ht="18" customHeight="1">
      <c r="A36" s="25" t="n"/>
      <c r="B36" s="25" t="n"/>
      <c r="C36" s="25" t="n"/>
      <c r="D36" s="25" t="n"/>
      <c r="E36" s="25" t="n"/>
      <c r="F36" s="25" t="n"/>
      <c r="G36" s="25" t="n"/>
    </row>
    <row r="37" ht="18" customHeight="1">
      <c r="A37" s="24" t="n"/>
      <c r="B37" s="24" t="n"/>
      <c r="C37" s="24" t="n"/>
      <c r="D37" s="24" t="n"/>
      <c r="E37" s="24" t="n"/>
      <c r="F37" s="24" t="n"/>
      <c r="G37" s="24" t="n"/>
    </row>
    <row r="38" ht="18" customHeight="1">
      <c r="A38" s="25" t="n"/>
      <c r="B38" s="25" t="n"/>
      <c r="C38" s="25" t="n"/>
      <c r="D38" s="25" t="n"/>
      <c r="E38" s="25" t="n"/>
      <c r="F38" s="25" t="n"/>
      <c r="G38" s="25" t="n"/>
    </row>
    <row r="39" ht="18" customHeight="1">
      <c r="A39" s="24" t="n"/>
      <c r="B39" s="24" t="n"/>
      <c r="C39" s="24" t="n"/>
      <c r="D39" s="24" t="n"/>
      <c r="E39" s="24" t="n"/>
      <c r="F39" s="24" t="n"/>
      <c r="G39" s="24" t="n"/>
    </row>
    <row r="40" ht="18" customHeight="1">
      <c r="A40" s="25" t="n"/>
      <c r="B40" s="25" t="n"/>
      <c r="C40" s="25" t="n"/>
      <c r="D40" s="25" t="n"/>
      <c r="E40" s="25" t="n"/>
      <c r="F40" s="25" t="n"/>
      <c r="G40" s="25" t="n"/>
    </row>
    <row r="41" ht="18" customHeight="1">
      <c r="A41" s="24" t="n"/>
      <c r="B41" s="24" t="n"/>
      <c r="C41" s="24" t="n"/>
      <c r="D41" s="24" t="n"/>
      <c r="E41" s="24" t="n"/>
      <c r="F41" s="24" t="n"/>
      <c r="G41" s="24" t="n"/>
    </row>
    <row r="42" ht="18" customHeight="1">
      <c r="A42" s="25" t="n"/>
      <c r="B42" s="25" t="n"/>
      <c r="C42" s="25" t="n"/>
      <c r="D42" s="25" t="n"/>
      <c r="E42" s="25" t="n"/>
      <c r="F42" s="25" t="n"/>
      <c r="G42" s="25" t="n"/>
    </row>
    <row r="43" ht="18" customHeight="1">
      <c r="A43" s="24" t="n"/>
      <c r="B43" s="24" t="n"/>
      <c r="C43" s="24" t="n"/>
      <c r="D43" s="24" t="n"/>
      <c r="E43" s="24" t="n"/>
      <c r="F43" s="24" t="n"/>
      <c r="G43" s="24" t="n"/>
    </row>
    <row r="44" ht="22" customHeight="1">
      <c r="A44" s="16" t="inlineStr">
        <is>
          <t>TOTAL VARIABLE</t>
        </is>
      </c>
      <c r="D44" s="17">
        <f>SUM(D19:D43)</f>
        <v/>
      </c>
      <c r="E44" s="17">
        <f>SUM(E19:E43)</f>
        <v/>
      </c>
      <c r="F44" s="18" t="n"/>
      <c r="G44" s="18" t="n"/>
    </row>
    <row r="45" ht="8" customHeight="1">
      <c r="A45" s="19" t="n"/>
      <c r="B45" s="19" t="n"/>
      <c r="C45" s="19" t="n"/>
      <c r="D45" s="19" t="n"/>
      <c r="E45" s="19" t="n"/>
      <c r="F45" s="19" t="n"/>
      <c r="G45" s="19" t="n"/>
    </row>
    <row r="46" ht="26" customHeight="1">
      <c r="A46" s="26" t="inlineStr">
        <is>
          <t>💰 BALANCE</t>
        </is>
      </c>
      <c r="D46" s="27">
        <f>D8-D15-D44</f>
        <v/>
      </c>
      <c r="E46" s="27">
        <f>E8-E15-E44</f>
        <v/>
      </c>
      <c r="F46" s="28" t="n"/>
      <c r="G46" s="28" t="n"/>
    </row>
  </sheetData>
  <mergeCells count="12">
    <mergeCell ref="B13:C13"/>
    <mergeCell ref="A1:G1"/>
    <mergeCell ref="A17:G17"/>
    <mergeCell ref="A44:C44"/>
    <mergeCell ref="A46:C46"/>
    <mergeCell ref="A3:G3"/>
    <mergeCell ref="A8:C8"/>
    <mergeCell ref="A2"/>
    <mergeCell ref="B14:C14"/>
    <mergeCell ref="A15:C15"/>
    <mergeCell ref="A10:G10"/>
    <mergeCell ref="B12:C12"/>
  </mergeCells>
  <dataValidations count="3">
    <dataValidation sqref="F19:F43" showDropDown="0" showInputMessage="0" showErrorMessage="0" allowBlank="1" type="list">
      <formula1>"Food,Transport,Health,Utilities,Entertainment,Tax,Savings,Big Buy,Personal,Other"</formula1>
    </dataValidation>
    <dataValidation sqref="G19:G43" showDropDown="0" showInputMessage="0" showErrorMessage="0" allowBlank="1" type="list">
      <formula1>"Cash ARS,USD Cash,Wise,Binance,MercadoPago,Tarjeta"</formula1>
    </dataValidation>
    <dataValidation sqref="E12:E14" showDropDown="0" showInputMessage="0" showErrorMessage="0" allowBlank="1" type="list">
      <formula1>"Pagado,Pendiente,Auto"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2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 ht="30" customHeight="1">
      <c r="A1" s="1" t="inlineStr">
        <is>
          <t>💸 JAN 2024 — GASTOS MENSUALES</t>
        </is>
      </c>
    </row>
    <row r="2" ht="22" customHeight="1">
      <c r="A2" s="2" t="inlineStr">
        <is>
          <t>USD/ARS</t>
        </is>
      </c>
      <c r="B2" s="3" t="n">
        <v>1150</v>
      </c>
      <c r="C2" s="4" t="inlineStr">
        <is>
          <t>← update monthly</t>
        </is>
      </c>
      <c r="D2" s="5" t="n"/>
      <c r="E2" s="5" t="n"/>
      <c r="F2" s="5" t="n"/>
      <c r="G2" s="5" t="n"/>
    </row>
    <row r="3" ht="24" customHeight="1">
      <c r="A3" s="6" t="inlineStr">
        <is>
          <t>▲ INGRESOS</t>
        </is>
      </c>
    </row>
    <row r="4" ht="20" customHeight="1">
      <c r="A4" s="7" t="inlineStr">
        <is>
          <t>#</t>
        </is>
      </c>
      <c r="B4" s="7" t="inlineStr">
        <is>
          <t>Source</t>
        </is>
      </c>
      <c r="C4" s="7" t="inlineStr">
        <is>
          <t>Description</t>
        </is>
      </c>
      <c r="D4" s="7" t="inlineStr">
        <is>
          <t>ARS</t>
        </is>
      </c>
      <c r="E4" s="7" t="inlineStr">
        <is>
          <t>USD</t>
        </is>
      </c>
    </row>
    <row r="5" ht="18" customHeight="1">
      <c r="A5" s="8" t="n">
        <v>1</v>
      </c>
      <c r="B5" s="9" t="inlineStr"/>
      <c r="C5" s="9" t="inlineStr">
        <is>
          <t>R Mochila Columbia</t>
        </is>
      </c>
      <c r="D5" s="10" t="n">
        <v>70000</v>
      </c>
      <c r="E5" s="10" t="n">
        <v>70</v>
      </c>
      <c r="F5" s="11" t="n"/>
      <c r="G5" s="11" t="n"/>
    </row>
    <row r="6" ht="18" customHeight="1">
      <c r="A6" s="12" t="n">
        <v>2</v>
      </c>
      <c r="B6" s="13" t="inlineStr"/>
      <c r="C6" s="13" t="inlineStr">
        <is>
          <t>R Remera Real Madrid</t>
        </is>
      </c>
      <c r="D6" s="14" t="n">
        <v>25000</v>
      </c>
      <c r="E6" s="14" t="n">
        <v>21.74</v>
      </c>
      <c r="F6" s="15" t="n"/>
      <c r="G6" s="15" t="n"/>
    </row>
    <row r="7" ht="18" customHeight="1">
      <c r="A7" s="8" t="n">
        <v>3</v>
      </c>
      <c r="B7" s="9" t="inlineStr"/>
      <c r="C7" s="9" t="inlineStr">
        <is>
          <t>R Hamburgo</t>
        </is>
      </c>
      <c r="D7" s="10" t="n">
        <v>22000</v>
      </c>
      <c r="E7" s="10" t="n">
        <v>19.13</v>
      </c>
      <c r="F7" s="11" t="n"/>
      <c r="G7" s="11" t="n"/>
    </row>
    <row r="8" ht="22" customHeight="1">
      <c r="A8" s="16" t="inlineStr">
        <is>
          <t>TOTAL INGRESOS</t>
        </is>
      </c>
      <c r="D8" s="17">
        <f>SUM(D5:D7)</f>
        <v/>
      </c>
      <c r="E8" s="17">
        <f>SUM(E5:E7)</f>
        <v/>
      </c>
      <c r="F8" s="18" t="n"/>
      <c r="G8" s="18" t="n"/>
    </row>
    <row r="9" ht="8" customHeight="1">
      <c r="A9" s="19" t="n"/>
      <c r="B9" s="19" t="n"/>
      <c r="C9" s="19" t="n"/>
      <c r="D9" s="19" t="n"/>
      <c r="E9" s="19" t="n"/>
      <c r="F9" s="19" t="n"/>
      <c r="G9" s="19" t="n"/>
    </row>
    <row r="10" ht="24" customHeight="1">
      <c r="A10" s="20" t="inlineStr">
        <is>
          <t>▼ EGRESOS FIJOS</t>
        </is>
      </c>
    </row>
    <row r="11" ht="20" customHeight="1">
      <c r="A11" s="21" t="inlineStr">
        <is>
          <t>#</t>
        </is>
      </c>
      <c r="B11" s="21" t="inlineStr">
        <is>
          <t>Description</t>
        </is>
      </c>
      <c r="C11" s="21" t="inlineStr">
        <is>
          <t>ARS</t>
        </is>
      </c>
      <c r="D11" s="21" t="inlineStr">
        <is>
          <t>USD</t>
        </is>
      </c>
      <c r="E11" s="21" t="inlineStr">
        <is>
          <t>Status</t>
        </is>
      </c>
      <c r="F11" s="21" t="inlineStr"/>
      <c r="G11" s="21" t="inlineStr"/>
    </row>
    <row r="12" ht="18" customHeight="1">
      <c r="A12" s="8" t="n">
        <v>1</v>
      </c>
      <c r="B12" s="9" t="inlineStr">
        <is>
          <t>HSBC</t>
        </is>
      </c>
      <c r="D12" s="10" t="n">
        <v>200000</v>
      </c>
      <c r="E12" s="10" t="n">
        <v>202.02</v>
      </c>
      <c r="F12" s="9" t="inlineStr"/>
      <c r="G12" s="11" t="n"/>
    </row>
    <row r="13" ht="18" customHeight="1">
      <c r="A13" s="12" t="n">
        <v>2</v>
      </c>
      <c r="B13" s="13" t="inlineStr">
        <is>
          <t>Expensas + Estela</t>
        </is>
      </c>
      <c r="D13" s="14" t="n">
        <v>99000</v>
      </c>
      <c r="E13" s="14" t="n">
        <v>99</v>
      </c>
      <c r="F13" s="13" t="inlineStr"/>
      <c r="G13" s="15" t="n"/>
    </row>
    <row r="14" ht="18" customHeight="1">
      <c r="A14" s="8" t="n">
        <v>3</v>
      </c>
      <c r="B14" s="9" t="inlineStr">
        <is>
          <t>Gali Prestamo</t>
        </is>
      </c>
      <c r="D14" s="10" t="n">
        <v>15500</v>
      </c>
      <c r="E14" s="10" t="n">
        <v>15.66</v>
      </c>
      <c r="F14" s="9" t="inlineStr"/>
      <c r="G14" s="11" t="n"/>
    </row>
    <row r="15" ht="22" customHeight="1">
      <c r="A15" s="16" t="inlineStr">
        <is>
          <t>TOTAL FIJOS</t>
        </is>
      </c>
      <c r="D15" s="17">
        <f>SUM(D12:D14)</f>
        <v/>
      </c>
      <c r="E15" s="17">
        <f>SUM(E12:E14)</f>
        <v/>
      </c>
      <c r="F15" s="18" t="n"/>
      <c r="G15" s="18" t="n"/>
    </row>
    <row r="16" ht="8" customHeight="1">
      <c r="A16" s="19" t="n"/>
      <c r="B16" s="19" t="n"/>
      <c r="C16" s="19" t="n"/>
      <c r="D16" s="19" t="n"/>
      <c r="E16" s="19" t="n"/>
      <c r="F16" s="19" t="n"/>
      <c r="G16" s="19" t="n"/>
    </row>
    <row r="17" ht="24" customHeight="1">
      <c r="A17" s="22" t="inlineStr">
        <is>
          <t>📋 GASTOS DEL MES</t>
        </is>
      </c>
    </row>
    <row r="18" ht="20" customHeight="1">
      <c r="A18" s="23" t="inlineStr">
        <is>
          <t>#</t>
        </is>
      </c>
      <c r="B18" s="23" t="inlineStr">
        <is>
          <t>Date</t>
        </is>
      </c>
      <c r="C18" s="23" t="inlineStr">
        <is>
          <t>Description</t>
        </is>
      </c>
      <c r="D18" s="23" t="inlineStr">
        <is>
          <t>ARS</t>
        </is>
      </c>
      <c r="E18" s="23" t="inlineStr">
        <is>
          <t>USD</t>
        </is>
      </c>
      <c r="F18" s="23" t="inlineStr">
        <is>
          <t>Category</t>
        </is>
      </c>
      <c r="G18" s="23" t="inlineStr">
        <is>
          <t>Payment</t>
        </is>
      </c>
    </row>
    <row r="19" ht="18" customHeight="1">
      <c r="A19" s="8" t="n">
        <v>1</v>
      </c>
      <c r="B19" s="8" t="inlineStr">
        <is>
          <t>01</t>
        </is>
      </c>
      <c r="C19" s="9" t="inlineStr">
        <is>
          <t>Didi cumple pen</t>
        </is>
      </c>
      <c r="D19" s="10" t="n">
        <v>2500</v>
      </c>
      <c r="E19" s="10" t="n">
        <v>2.17</v>
      </c>
      <c r="F19" s="9" t="inlineStr"/>
      <c r="G19" s="9" t="inlineStr"/>
    </row>
    <row r="20" ht="18" customHeight="1">
      <c r="A20" s="12" t="n">
        <v>2</v>
      </c>
      <c r="B20" s="12" t="inlineStr">
        <is>
          <t>02</t>
        </is>
      </c>
      <c r="C20" s="13" t="inlineStr">
        <is>
          <t>Frutas</t>
        </is>
      </c>
      <c r="D20" s="14" t="n">
        <v>8000</v>
      </c>
      <c r="E20" s="14" t="n">
        <v>6.96</v>
      </c>
      <c r="F20" s="13" t="inlineStr"/>
      <c r="G20" s="13" t="inlineStr"/>
    </row>
    <row r="21" ht="18" customHeight="1">
      <c r="A21" s="8" t="n">
        <v>3</v>
      </c>
      <c r="B21" s="8" t="inlineStr">
        <is>
          <t>04</t>
        </is>
      </c>
      <c r="C21" s="9" t="inlineStr">
        <is>
          <t>Corchio</t>
        </is>
      </c>
      <c r="D21" s="10" t="n">
        <v>6000</v>
      </c>
      <c r="E21" s="10" t="n">
        <v>5.22</v>
      </c>
      <c r="F21" s="9" t="inlineStr"/>
      <c r="G21" s="9" t="inlineStr"/>
    </row>
    <row r="22" ht="18" customHeight="1">
      <c r="A22" s="25" t="n"/>
      <c r="B22" s="25" t="n"/>
      <c r="C22" s="25" t="n"/>
      <c r="D22" s="25" t="n"/>
      <c r="E22" s="25" t="n"/>
      <c r="F22" s="25" t="n"/>
      <c r="G22" s="25" t="n"/>
    </row>
    <row r="23" ht="18" customHeight="1">
      <c r="A23" s="24" t="n"/>
      <c r="B23" s="24" t="n"/>
      <c r="C23" s="24" t="n"/>
      <c r="D23" s="24" t="n"/>
      <c r="E23" s="24" t="n"/>
      <c r="F23" s="24" t="n"/>
      <c r="G23" s="24" t="n"/>
    </row>
    <row r="24" ht="18" customHeight="1">
      <c r="A24" s="25" t="n"/>
      <c r="B24" s="25" t="n"/>
      <c r="C24" s="25" t="n"/>
      <c r="D24" s="25" t="n"/>
      <c r="E24" s="25" t="n"/>
      <c r="F24" s="25" t="n"/>
      <c r="G24" s="25" t="n"/>
    </row>
    <row r="25" ht="18" customHeight="1">
      <c r="A25" s="24" t="n"/>
      <c r="B25" s="24" t="n"/>
      <c r="C25" s="24" t="n"/>
      <c r="D25" s="24" t="n"/>
      <c r="E25" s="24" t="n"/>
      <c r="F25" s="24" t="n"/>
      <c r="G25" s="24" t="n"/>
    </row>
    <row r="26" ht="18" customHeight="1">
      <c r="A26" s="25" t="n"/>
      <c r="B26" s="25" t="n"/>
      <c r="C26" s="25" t="n"/>
      <c r="D26" s="25" t="n"/>
      <c r="E26" s="25" t="n"/>
      <c r="F26" s="25" t="n"/>
      <c r="G26" s="25" t="n"/>
    </row>
    <row r="27" ht="18" customHeight="1">
      <c r="A27" s="24" t="n"/>
      <c r="B27" s="24" t="n"/>
      <c r="C27" s="24" t="n"/>
      <c r="D27" s="24" t="n"/>
      <c r="E27" s="24" t="n"/>
      <c r="F27" s="24" t="n"/>
      <c r="G27" s="24" t="n"/>
    </row>
    <row r="28" ht="18" customHeight="1">
      <c r="A28" s="25" t="n"/>
      <c r="B28" s="25" t="n"/>
      <c r="C28" s="25" t="n"/>
      <c r="D28" s="25" t="n"/>
      <c r="E28" s="25" t="n"/>
      <c r="F28" s="25" t="n"/>
      <c r="G28" s="25" t="n"/>
    </row>
    <row r="29" ht="18" customHeight="1">
      <c r="A29" s="24" t="n"/>
      <c r="B29" s="24" t="n"/>
      <c r="C29" s="24" t="n"/>
      <c r="D29" s="24" t="n"/>
      <c r="E29" s="24" t="n"/>
      <c r="F29" s="24" t="n"/>
      <c r="G29" s="24" t="n"/>
    </row>
    <row r="30" ht="18" customHeight="1">
      <c r="A30" s="25" t="n"/>
      <c r="B30" s="25" t="n"/>
      <c r="C30" s="25" t="n"/>
      <c r="D30" s="25" t="n"/>
      <c r="E30" s="25" t="n"/>
      <c r="F30" s="25" t="n"/>
      <c r="G30" s="25" t="n"/>
    </row>
    <row r="31" ht="18" customHeight="1">
      <c r="A31" s="24" t="n"/>
      <c r="B31" s="24" t="n"/>
      <c r="C31" s="24" t="n"/>
      <c r="D31" s="24" t="n"/>
      <c r="E31" s="24" t="n"/>
      <c r="F31" s="24" t="n"/>
      <c r="G31" s="24" t="n"/>
    </row>
    <row r="32" ht="18" customHeight="1">
      <c r="A32" s="25" t="n"/>
      <c r="B32" s="25" t="n"/>
      <c r="C32" s="25" t="n"/>
      <c r="D32" s="25" t="n"/>
      <c r="E32" s="25" t="n"/>
      <c r="F32" s="25" t="n"/>
      <c r="G32" s="25" t="n"/>
    </row>
    <row r="33" ht="18" customHeight="1">
      <c r="A33" s="24" t="n"/>
      <c r="B33" s="24" t="n"/>
      <c r="C33" s="24" t="n"/>
      <c r="D33" s="24" t="n"/>
      <c r="E33" s="24" t="n"/>
      <c r="F33" s="24" t="n"/>
      <c r="G33" s="24" t="n"/>
    </row>
    <row r="34" ht="18" customHeight="1">
      <c r="A34" s="25" t="n"/>
      <c r="B34" s="25" t="n"/>
      <c r="C34" s="25" t="n"/>
      <c r="D34" s="25" t="n"/>
      <c r="E34" s="25" t="n"/>
      <c r="F34" s="25" t="n"/>
      <c r="G34" s="25" t="n"/>
    </row>
    <row r="35" ht="18" customHeight="1">
      <c r="A35" s="24" t="n"/>
      <c r="B35" s="24" t="n"/>
      <c r="C35" s="24" t="n"/>
      <c r="D35" s="24" t="n"/>
      <c r="E35" s="24" t="n"/>
      <c r="F35" s="24" t="n"/>
      <c r="G35" s="24" t="n"/>
    </row>
    <row r="36" ht="18" customHeight="1">
      <c r="A36" s="25" t="n"/>
      <c r="B36" s="25" t="n"/>
      <c r="C36" s="25" t="n"/>
      <c r="D36" s="25" t="n"/>
      <c r="E36" s="25" t="n"/>
      <c r="F36" s="25" t="n"/>
      <c r="G36" s="25" t="n"/>
    </row>
    <row r="37" ht="18" customHeight="1">
      <c r="A37" s="24" t="n"/>
      <c r="B37" s="24" t="n"/>
      <c r="C37" s="24" t="n"/>
      <c r="D37" s="24" t="n"/>
      <c r="E37" s="24" t="n"/>
      <c r="F37" s="24" t="n"/>
      <c r="G37" s="24" t="n"/>
    </row>
    <row r="38" ht="18" customHeight="1">
      <c r="A38" s="25" t="n"/>
      <c r="B38" s="25" t="n"/>
      <c r="C38" s="25" t="n"/>
      <c r="D38" s="25" t="n"/>
      <c r="E38" s="25" t="n"/>
      <c r="F38" s="25" t="n"/>
      <c r="G38" s="25" t="n"/>
    </row>
    <row r="39" ht="18" customHeight="1">
      <c r="A39" s="24" t="n"/>
      <c r="B39" s="24" t="n"/>
      <c r="C39" s="24" t="n"/>
      <c r="D39" s="24" t="n"/>
      <c r="E39" s="24" t="n"/>
      <c r="F39" s="24" t="n"/>
      <c r="G39" s="24" t="n"/>
    </row>
    <row r="40" ht="18" customHeight="1">
      <c r="A40" s="25" t="n"/>
      <c r="B40" s="25" t="n"/>
      <c r="C40" s="25" t="n"/>
      <c r="D40" s="25" t="n"/>
      <c r="E40" s="25" t="n"/>
      <c r="F40" s="25" t="n"/>
      <c r="G40" s="25" t="n"/>
    </row>
    <row r="41" ht="18" customHeight="1">
      <c r="A41" s="24" t="n"/>
      <c r="B41" s="24" t="n"/>
      <c r="C41" s="24" t="n"/>
      <c r="D41" s="24" t="n"/>
      <c r="E41" s="24" t="n"/>
      <c r="F41" s="24" t="n"/>
      <c r="G41" s="24" t="n"/>
    </row>
    <row r="42" ht="18" customHeight="1">
      <c r="A42" s="25" t="n"/>
      <c r="B42" s="25" t="n"/>
      <c r="C42" s="25" t="n"/>
      <c r="D42" s="25" t="n"/>
      <c r="E42" s="25" t="n"/>
      <c r="F42" s="25" t="n"/>
      <c r="G42" s="25" t="n"/>
    </row>
    <row r="43" ht="18" customHeight="1">
      <c r="A43" s="24" t="n"/>
      <c r="B43" s="24" t="n"/>
      <c r="C43" s="24" t="n"/>
      <c r="D43" s="24" t="n"/>
      <c r="E43" s="24" t="n"/>
      <c r="F43" s="24" t="n"/>
      <c r="G43" s="24" t="n"/>
    </row>
    <row r="44" ht="22" customHeight="1">
      <c r="A44" s="16" t="inlineStr">
        <is>
          <t>TOTAL VARIABLE</t>
        </is>
      </c>
      <c r="D44" s="17">
        <f>SUM(D19:D43)</f>
        <v/>
      </c>
      <c r="E44" s="17">
        <f>SUM(E19:E43)</f>
        <v/>
      </c>
      <c r="F44" s="18" t="n"/>
      <c r="G44" s="18" t="n"/>
    </row>
    <row r="45" ht="8" customHeight="1">
      <c r="A45" s="19" t="n"/>
      <c r="B45" s="19" t="n"/>
      <c r="C45" s="19" t="n"/>
      <c r="D45" s="19" t="n"/>
      <c r="E45" s="19" t="n"/>
      <c r="F45" s="19" t="n"/>
      <c r="G45" s="19" t="n"/>
    </row>
    <row r="46" ht="26" customHeight="1">
      <c r="A46" s="26" t="inlineStr">
        <is>
          <t>💰 BALANCE</t>
        </is>
      </c>
      <c r="D46" s="27">
        <f>D8-D15-D44</f>
        <v/>
      </c>
      <c r="E46" s="27">
        <f>E8-E15-E44</f>
        <v/>
      </c>
      <c r="F46" s="28" t="n"/>
      <c r="G46" s="28" t="n"/>
    </row>
  </sheetData>
  <mergeCells count="12">
    <mergeCell ref="B13:C13"/>
    <mergeCell ref="A1:G1"/>
    <mergeCell ref="A17:G17"/>
    <mergeCell ref="A44:C44"/>
    <mergeCell ref="A46:C46"/>
    <mergeCell ref="A3:G3"/>
    <mergeCell ref="A8:C8"/>
    <mergeCell ref="A2"/>
    <mergeCell ref="B14:C14"/>
    <mergeCell ref="A15:C15"/>
    <mergeCell ref="A10:G10"/>
    <mergeCell ref="B12:C12"/>
  </mergeCells>
  <dataValidations count="3">
    <dataValidation sqref="F19:F43" showDropDown="0" showInputMessage="0" showErrorMessage="0" allowBlank="1" type="list">
      <formula1>"Food,Transport,Health,Utilities,Entertainment,Tax,Savings,Big Buy,Personal,Other"</formula1>
    </dataValidation>
    <dataValidation sqref="G19:G43" showDropDown="0" showInputMessage="0" showErrorMessage="0" allowBlank="1" type="list">
      <formula1>"Cash ARS,USD Cash,Wise,Binance,MercadoPago,Tarjeta"</formula1>
    </dataValidation>
    <dataValidation sqref="E12:E14" showDropDown="0" showInputMessage="0" showErrorMessage="0" allowBlank="1" type="list">
      <formula1>"Pagado,Pendiente,Auto"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2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 ht="30" customHeight="1">
      <c r="A1" s="1" t="inlineStr">
        <is>
          <t>💸 FEB 2024 — GASTOS MENSUALES</t>
        </is>
      </c>
    </row>
    <row r="2" ht="22" customHeight="1">
      <c r="A2" s="2" t="inlineStr">
        <is>
          <t>USD/ARS</t>
        </is>
      </c>
      <c r="B2" s="3" t="n">
        <v>1150</v>
      </c>
      <c r="C2" s="4" t="inlineStr">
        <is>
          <t>← update monthly</t>
        </is>
      </c>
      <c r="D2" s="5" t="n"/>
      <c r="E2" s="5" t="n"/>
      <c r="F2" s="5" t="n"/>
      <c r="G2" s="5" t="n"/>
    </row>
    <row r="3" ht="24" customHeight="1">
      <c r="A3" s="6" t="inlineStr">
        <is>
          <t>▲ INGRESOS</t>
        </is>
      </c>
    </row>
    <row r="4" ht="20" customHeight="1">
      <c r="A4" s="7" t="inlineStr">
        <is>
          <t>#</t>
        </is>
      </c>
      <c r="B4" s="7" t="inlineStr">
        <is>
          <t>Source</t>
        </is>
      </c>
      <c r="C4" s="7" t="inlineStr">
        <is>
          <t>Description</t>
        </is>
      </c>
      <c r="D4" s="7" t="inlineStr">
        <is>
          <t>ARS</t>
        </is>
      </c>
      <c r="E4" s="7" t="inlineStr">
        <is>
          <t>USD</t>
        </is>
      </c>
    </row>
    <row r="5" ht="18" customHeight="1">
      <c r="A5" s="8" t="n">
        <v>1</v>
      </c>
      <c r="B5" s="9" t="inlineStr"/>
      <c r="C5" s="9" t="inlineStr">
        <is>
          <t>2 catta Valen</t>
        </is>
      </c>
      <c r="D5" s="10" t="n">
        <v>65000</v>
      </c>
      <c r="E5" s="10" t="n">
        <v>56.52</v>
      </c>
      <c r="F5" s="11" t="n"/>
      <c r="G5" s="11" t="n"/>
    </row>
    <row r="6" ht="18" customHeight="1">
      <c r="A6" s="12" t="n">
        <v>2</v>
      </c>
      <c r="B6" s="13" t="inlineStr"/>
      <c r="C6" s="13" t="inlineStr">
        <is>
          <t>1 publi Feba</t>
        </is>
      </c>
      <c r="D6" s="14" t="n">
        <v>20000</v>
      </c>
      <c r="E6" s="14" t="n">
        <v>17.39</v>
      </c>
      <c r="F6" s="15" t="n"/>
      <c r="G6" s="15" t="n"/>
    </row>
    <row r="7" ht="22" customHeight="1">
      <c r="A7" s="16" t="inlineStr">
        <is>
          <t>TOTAL INGRESOS</t>
        </is>
      </c>
      <c r="D7" s="17">
        <f>SUM(D5:D6)</f>
        <v/>
      </c>
      <c r="E7" s="17">
        <f>SUM(E5:E6)</f>
        <v/>
      </c>
      <c r="F7" s="18" t="n"/>
      <c r="G7" s="18" t="n"/>
    </row>
    <row r="8" ht="8" customHeight="1">
      <c r="A8" s="19" t="n"/>
      <c r="B8" s="19" t="n"/>
      <c r="C8" s="19" t="n"/>
      <c r="D8" s="19" t="n"/>
      <c r="E8" s="19" t="n"/>
      <c r="F8" s="19" t="n"/>
      <c r="G8" s="19" t="n"/>
    </row>
    <row r="9" ht="24" customHeight="1">
      <c r="A9" s="20" t="inlineStr">
        <is>
          <t>▼ EGRESOS FIJOS</t>
        </is>
      </c>
    </row>
    <row r="10" ht="20" customHeight="1">
      <c r="A10" s="21" t="inlineStr">
        <is>
          <t>#</t>
        </is>
      </c>
      <c r="B10" s="21" t="inlineStr">
        <is>
          <t>Description</t>
        </is>
      </c>
      <c r="C10" s="21" t="inlineStr">
        <is>
          <t>ARS</t>
        </is>
      </c>
      <c r="D10" s="21" t="inlineStr">
        <is>
          <t>USD</t>
        </is>
      </c>
      <c r="E10" s="21" t="inlineStr">
        <is>
          <t>Status</t>
        </is>
      </c>
      <c r="F10" s="21" t="inlineStr"/>
      <c r="G10" s="21" t="inlineStr"/>
    </row>
    <row r="11" ht="18" customHeight="1">
      <c r="A11" s="8" t="n">
        <v>1</v>
      </c>
      <c r="B11" s="9" t="inlineStr">
        <is>
          <t>HSBC</t>
        </is>
      </c>
      <c r="D11" s="10" t="n">
        <v>200000</v>
      </c>
      <c r="E11" s="10" t="n">
        <v>202.02</v>
      </c>
      <c r="F11" s="9" t="inlineStr"/>
      <c r="G11" s="11" t="n"/>
    </row>
    <row r="12" ht="18" customHeight="1">
      <c r="A12" s="12" t="n">
        <v>2</v>
      </c>
      <c r="B12" s="13" t="inlineStr">
        <is>
          <t>Gali Prestamo</t>
        </is>
      </c>
      <c r="D12" s="14" t="n">
        <v>15500</v>
      </c>
      <c r="E12" s="14" t="n">
        <v>15.66</v>
      </c>
      <c r="F12" s="13" t="inlineStr"/>
      <c r="G12" s="15" t="n"/>
    </row>
    <row r="13" ht="18" customHeight="1">
      <c r="A13" s="8" t="n">
        <v>3</v>
      </c>
      <c r="B13" s="9" t="inlineStr">
        <is>
          <t>Rentas</t>
        </is>
      </c>
      <c r="D13" s="10" t="n">
        <v>6000</v>
      </c>
      <c r="E13" s="10" t="n">
        <v>6.06</v>
      </c>
      <c r="F13" s="9" t="inlineStr"/>
      <c r="G13" s="11" t="n"/>
    </row>
    <row r="14" ht="22" customHeight="1">
      <c r="A14" s="16" t="inlineStr">
        <is>
          <t>TOTAL FIJOS</t>
        </is>
      </c>
      <c r="D14" s="17">
        <f>SUM(D11:D13)</f>
        <v/>
      </c>
      <c r="E14" s="17">
        <f>SUM(E11:E13)</f>
        <v/>
      </c>
      <c r="F14" s="18" t="n"/>
      <c r="G14" s="18" t="n"/>
    </row>
    <row r="15" ht="8" customHeight="1">
      <c r="A15" s="19" t="n"/>
      <c r="B15" s="19" t="n"/>
      <c r="C15" s="19" t="n"/>
      <c r="D15" s="19" t="n"/>
      <c r="E15" s="19" t="n"/>
      <c r="F15" s="19" t="n"/>
      <c r="G15" s="19" t="n"/>
    </row>
    <row r="16" ht="24" customHeight="1">
      <c r="A16" s="22" t="inlineStr">
        <is>
          <t>📋 GASTOS DEL MES</t>
        </is>
      </c>
    </row>
    <row r="17" ht="20" customHeight="1">
      <c r="A17" s="23" t="inlineStr">
        <is>
          <t>#</t>
        </is>
      </c>
      <c r="B17" s="23" t="inlineStr">
        <is>
          <t>Date</t>
        </is>
      </c>
      <c r="C17" s="23" t="inlineStr">
        <is>
          <t>Description</t>
        </is>
      </c>
      <c r="D17" s="23" t="inlineStr">
        <is>
          <t>ARS</t>
        </is>
      </c>
      <c r="E17" s="23" t="inlineStr">
        <is>
          <t>USD</t>
        </is>
      </c>
      <c r="F17" s="23" t="inlineStr">
        <is>
          <t>Category</t>
        </is>
      </c>
      <c r="G17" s="23" t="inlineStr">
        <is>
          <t>Payment</t>
        </is>
      </c>
    </row>
    <row r="18" ht="18" customHeight="1">
      <c r="A18" s="8" t="n">
        <v>1</v>
      </c>
      <c r="B18" s="8" t="inlineStr">
        <is>
          <t>01</t>
        </is>
      </c>
      <c r="C18" s="9" t="inlineStr">
        <is>
          <t>Chip E-sim</t>
        </is>
      </c>
      <c r="D18" s="10" t="n">
        <v>2500</v>
      </c>
      <c r="E18" s="10" t="n">
        <v>2.17</v>
      </c>
      <c r="F18" s="9" t="inlineStr"/>
      <c r="G18" s="9" t="inlineStr"/>
    </row>
    <row r="19" ht="18" customHeight="1">
      <c r="A19" s="25" t="n"/>
      <c r="B19" s="25" t="n"/>
      <c r="C19" s="25" t="n"/>
      <c r="D19" s="25" t="n"/>
      <c r="E19" s="25" t="n"/>
      <c r="F19" s="25" t="n"/>
      <c r="G19" s="25" t="n"/>
    </row>
    <row r="20" ht="18" customHeight="1">
      <c r="A20" s="24" t="n"/>
      <c r="B20" s="24" t="n"/>
      <c r="C20" s="24" t="n"/>
      <c r="D20" s="24" t="n"/>
      <c r="E20" s="24" t="n"/>
      <c r="F20" s="24" t="n"/>
      <c r="G20" s="24" t="n"/>
    </row>
    <row r="21" ht="18" customHeight="1">
      <c r="A21" s="25" t="n"/>
      <c r="B21" s="25" t="n"/>
      <c r="C21" s="25" t="n"/>
      <c r="D21" s="25" t="n"/>
      <c r="E21" s="25" t="n"/>
      <c r="F21" s="25" t="n"/>
      <c r="G21" s="25" t="n"/>
    </row>
    <row r="22" ht="18" customHeight="1">
      <c r="A22" s="24" t="n"/>
      <c r="B22" s="24" t="n"/>
      <c r="C22" s="24" t="n"/>
      <c r="D22" s="24" t="n"/>
      <c r="E22" s="24" t="n"/>
      <c r="F22" s="24" t="n"/>
      <c r="G22" s="24" t="n"/>
    </row>
    <row r="23" ht="18" customHeight="1">
      <c r="A23" s="25" t="n"/>
      <c r="B23" s="25" t="n"/>
      <c r="C23" s="25" t="n"/>
      <c r="D23" s="25" t="n"/>
      <c r="E23" s="25" t="n"/>
      <c r="F23" s="25" t="n"/>
      <c r="G23" s="25" t="n"/>
    </row>
    <row r="24" ht="18" customHeight="1">
      <c r="A24" s="24" t="n"/>
      <c r="B24" s="24" t="n"/>
      <c r="C24" s="24" t="n"/>
      <c r="D24" s="24" t="n"/>
      <c r="E24" s="24" t="n"/>
      <c r="F24" s="24" t="n"/>
      <c r="G24" s="24" t="n"/>
    </row>
    <row r="25" ht="18" customHeight="1">
      <c r="A25" s="25" t="n"/>
      <c r="B25" s="25" t="n"/>
      <c r="C25" s="25" t="n"/>
      <c r="D25" s="25" t="n"/>
      <c r="E25" s="25" t="n"/>
      <c r="F25" s="25" t="n"/>
      <c r="G25" s="25" t="n"/>
    </row>
    <row r="26" ht="18" customHeight="1">
      <c r="A26" s="24" t="n"/>
      <c r="B26" s="24" t="n"/>
      <c r="C26" s="24" t="n"/>
      <c r="D26" s="24" t="n"/>
      <c r="E26" s="24" t="n"/>
      <c r="F26" s="24" t="n"/>
      <c r="G26" s="24" t="n"/>
    </row>
    <row r="27" ht="18" customHeight="1">
      <c r="A27" s="25" t="n"/>
      <c r="B27" s="25" t="n"/>
      <c r="C27" s="25" t="n"/>
      <c r="D27" s="25" t="n"/>
      <c r="E27" s="25" t="n"/>
      <c r="F27" s="25" t="n"/>
      <c r="G27" s="25" t="n"/>
    </row>
    <row r="28" ht="18" customHeight="1">
      <c r="A28" s="24" t="n"/>
      <c r="B28" s="24" t="n"/>
      <c r="C28" s="24" t="n"/>
      <c r="D28" s="24" t="n"/>
      <c r="E28" s="24" t="n"/>
      <c r="F28" s="24" t="n"/>
      <c r="G28" s="24" t="n"/>
    </row>
    <row r="29" ht="18" customHeight="1">
      <c r="A29" s="25" t="n"/>
      <c r="B29" s="25" t="n"/>
      <c r="C29" s="25" t="n"/>
      <c r="D29" s="25" t="n"/>
      <c r="E29" s="25" t="n"/>
      <c r="F29" s="25" t="n"/>
      <c r="G29" s="25" t="n"/>
    </row>
    <row r="30" ht="18" customHeight="1">
      <c r="A30" s="24" t="n"/>
      <c r="B30" s="24" t="n"/>
      <c r="C30" s="24" t="n"/>
      <c r="D30" s="24" t="n"/>
      <c r="E30" s="24" t="n"/>
      <c r="F30" s="24" t="n"/>
      <c r="G30" s="24" t="n"/>
    </row>
    <row r="31" ht="18" customHeight="1">
      <c r="A31" s="25" t="n"/>
      <c r="B31" s="25" t="n"/>
      <c r="C31" s="25" t="n"/>
      <c r="D31" s="25" t="n"/>
      <c r="E31" s="25" t="n"/>
      <c r="F31" s="25" t="n"/>
      <c r="G31" s="25" t="n"/>
    </row>
    <row r="32" ht="18" customHeight="1">
      <c r="A32" s="24" t="n"/>
      <c r="B32" s="24" t="n"/>
      <c r="C32" s="24" t="n"/>
      <c r="D32" s="24" t="n"/>
      <c r="E32" s="24" t="n"/>
      <c r="F32" s="24" t="n"/>
      <c r="G32" s="24" t="n"/>
    </row>
    <row r="33" ht="18" customHeight="1">
      <c r="A33" s="25" t="n"/>
      <c r="B33" s="25" t="n"/>
      <c r="C33" s="25" t="n"/>
      <c r="D33" s="25" t="n"/>
      <c r="E33" s="25" t="n"/>
      <c r="F33" s="25" t="n"/>
      <c r="G33" s="25" t="n"/>
    </row>
    <row r="34" ht="18" customHeight="1">
      <c r="A34" s="24" t="n"/>
      <c r="B34" s="24" t="n"/>
      <c r="C34" s="24" t="n"/>
      <c r="D34" s="24" t="n"/>
      <c r="E34" s="24" t="n"/>
      <c r="F34" s="24" t="n"/>
      <c r="G34" s="24" t="n"/>
    </row>
    <row r="35" ht="18" customHeight="1">
      <c r="A35" s="25" t="n"/>
      <c r="B35" s="25" t="n"/>
      <c r="C35" s="25" t="n"/>
      <c r="D35" s="25" t="n"/>
      <c r="E35" s="25" t="n"/>
      <c r="F35" s="25" t="n"/>
      <c r="G35" s="25" t="n"/>
    </row>
    <row r="36" ht="18" customHeight="1">
      <c r="A36" s="24" t="n"/>
      <c r="B36" s="24" t="n"/>
      <c r="C36" s="24" t="n"/>
      <c r="D36" s="24" t="n"/>
      <c r="E36" s="24" t="n"/>
      <c r="F36" s="24" t="n"/>
      <c r="G36" s="24" t="n"/>
    </row>
    <row r="37" ht="18" customHeight="1">
      <c r="A37" s="25" t="n"/>
      <c r="B37" s="25" t="n"/>
      <c r="C37" s="25" t="n"/>
      <c r="D37" s="25" t="n"/>
      <c r="E37" s="25" t="n"/>
      <c r="F37" s="25" t="n"/>
      <c r="G37" s="25" t="n"/>
    </row>
    <row r="38" ht="18" customHeight="1">
      <c r="A38" s="24" t="n"/>
      <c r="B38" s="24" t="n"/>
      <c r="C38" s="24" t="n"/>
      <c r="D38" s="24" t="n"/>
      <c r="E38" s="24" t="n"/>
      <c r="F38" s="24" t="n"/>
      <c r="G38" s="24" t="n"/>
    </row>
    <row r="39" ht="18" customHeight="1">
      <c r="A39" s="25" t="n"/>
      <c r="B39" s="25" t="n"/>
      <c r="C39" s="25" t="n"/>
      <c r="D39" s="25" t="n"/>
      <c r="E39" s="25" t="n"/>
      <c r="F39" s="25" t="n"/>
      <c r="G39" s="25" t="n"/>
    </row>
    <row r="40" ht="18" customHeight="1">
      <c r="A40" s="24" t="n"/>
      <c r="B40" s="24" t="n"/>
      <c r="C40" s="24" t="n"/>
      <c r="D40" s="24" t="n"/>
      <c r="E40" s="24" t="n"/>
      <c r="F40" s="24" t="n"/>
      <c r="G40" s="24" t="n"/>
    </row>
    <row r="41" ht="18" customHeight="1">
      <c r="A41" s="25" t="n"/>
      <c r="B41" s="25" t="n"/>
      <c r="C41" s="25" t="n"/>
      <c r="D41" s="25" t="n"/>
      <c r="E41" s="25" t="n"/>
      <c r="F41" s="25" t="n"/>
      <c r="G41" s="25" t="n"/>
    </row>
    <row r="42" ht="18" customHeight="1">
      <c r="A42" s="24" t="n"/>
      <c r="B42" s="24" t="n"/>
      <c r="C42" s="24" t="n"/>
      <c r="D42" s="24" t="n"/>
      <c r="E42" s="24" t="n"/>
      <c r="F42" s="24" t="n"/>
      <c r="G42" s="24" t="n"/>
    </row>
    <row r="43" ht="22" customHeight="1">
      <c r="A43" s="16" t="inlineStr">
        <is>
          <t>TOTAL VARIABLE</t>
        </is>
      </c>
      <c r="D43" s="17">
        <f>SUM(D18:D42)</f>
        <v/>
      </c>
      <c r="E43" s="17">
        <f>SUM(E18:E42)</f>
        <v/>
      </c>
      <c r="F43" s="18" t="n"/>
      <c r="G43" s="18" t="n"/>
    </row>
    <row r="44" ht="8" customHeight="1">
      <c r="A44" s="19" t="n"/>
      <c r="B44" s="19" t="n"/>
      <c r="C44" s="19" t="n"/>
      <c r="D44" s="19" t="n"/>
      <c r="E44" s="19" t="n"/>
      <c r="F44" s="19" t="n"/>
      <c r="G44" s="19" t="n"/>
    </row>
    <row r="45" ht="26" customHeight="1">
      <c r="A45" s="26" t="inlineStr">
        <is>
          <t>💰 BALANCE</t>
        </is>
      </c>
      <c r="D45" s="27">
        <f>D7-D14-D43</f>
        <v/>
      </c>
      <c r="E45" s="27">
        <f>E7-E14-E43</f>
        <v/>
      </c>
      <c r="F45" s="28" t="n"/>
      <c r="G45" s="28" t="n"/>
    </row>
  </sheetData>
  <mergeCells count="12">
    <mergeCell ref="B13:C13"/>
    <mergeCell ref="A1:G1"/>
    <mergeCell ref="A9:G9"/>
    <mergeCell ref="B11:C11"/>
    <mergeCell ref="A45:C45"/>
    <mergeCell ref="A3:G3"/>
    <mergeCell ref="A14:C14"/>
    <mergeCell ref="A2"/>
    <mergeCell ref="A16:G16"/>
    <mergeCell ref="A7:C7"/>
    <mergeCell ref="A43:C43"/>
    <mergeCell ref="B12:C12"/>
  </mergeCells>
  <dataValidations count="3">
    <dataValidation sqref="F18:F42" showDropDown="0" showInputMessage="0" showErrorMessage="0" allowBlank="1" type="list">
      <formula1>"Food,Transport,Health,Utilities,Entertainment,Tax,Savings,Big Buy,Personal,Other"</formula1>
    </dataValidation>
    <dataValidation sqref="G18:G42" showDropDown="0" showInputMessage="0" showErrorMessage="0" allowBlank="1" type="list">
      <formula1>"Cash ARS,USD Cash,Wise,Binance,MercadoPago,Tarjeta"</formula1>
    </dataValidation>
    <dataValidation sqref="E11:E13" showDropDown="0" showInputMessage="0" showErrorMessage="0" allowBlank="1" type="list">
      <formula1>"Pagado,Pendiente,Auto"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2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 ht="30" customHeight="1">
      <c r="A1" s="1" t="inlineStr">
        <is>
          <t>💸 MAR 2024 — GASTOS MENSUALES</t>
        </is>
      </c>
    </row>
    <row r="2" ht="22" customHeight="1">
      <c r="A2" s="2" t="inlineStr">
        <is>
          <t>USD/ARS</t>
        </is>
      </c>
      <c r="B2" s="3" t="n">
        <v>1</v>
      </c>
      <c r="C2" s="4" t="inlineStr">
        <is>
          <t>← update monthly</t>
        </is>
      </c>
      <c r="D2" s="5" t="n"/>
      <c r="E2" s="5" t="n"/>
      <c r="F2" s="5" t="n"/>
      <c r="G2" s="5" t="n"/>
    </row>
    <row r="3" ht="24" customHeight="1">
      <c r="A3" s="6" t="inlineStr">
        <is>
          <t>▲ INGRESOS</t>
        </is>
      </c>
    </row>
    <row r="4" ht="20" customHeight="1">
      <c r="A4" s="7" t="inlineStr">
        <is>
          <t>#</t>
        </is>
      </c>
      <c r="B4" s="7" t="inlineStr">
        <is>
          <t>Source</t>
        </is>
      </c>
      <c r="C4" s="7" t="inlineStr">
        <is>
          <t>Description</t>
        </is>
      </c>
      <c r="D4" s="7" t="inlineStr">
        <is>
          <t>ARS</t>
        </is>
      </c>
      <c r="E4" s="7" t="inlineStr">
        <is>
          <t>USD</t>
        </is>
      </c>
    </row>
    <row r="5" ht="18" customHeight="1">
      <c r="A5" s="8" t="n">
        <v>1</v>
      </c>
      <c r="B5" s="9" t="inlineStr"/>
      <c r="C5" s="9" t="inlineStr">
        <is>
          <t>AirbnbGift</t>
        </is>
      </c>
      <c r="D5" s="10" t="n"/>
      <c r="E5" s="10" t="n">
        <v>160</v>
      </c>
      <c r="F5" s="11" t="n"/>
      <c r="G5" s="11" t="n"/>
    </row>
    <row r="6" ht="18" customHeight="1">
      <c r="A6" s="12" t="n">
        <v>2</v>
      </c>
      <c r="B6" s="13" t="inlineStr"/>
      <c r="C6" s="13" t="inlineStr">
        <is>
          <t>Amazon Marcel</t>
        </is>
      </c>
      <c r="D6" s="14" t="n"/>
      <c r="E6" s="14" t="n">
        <v>332</v>
      </c>
      <c r="F6" s="15" t="n"/>
      <c r="G6" s="15" t="n"/>
    </row>
    <row r="7" ht="18" customHeight="1">
      <c r="A7" s="8" t="n">
        <v>3</v>
      </c>
      <c r="B7" s="9" t="inlineStr"/>
      <c r="C7" s="9" t="inlineStr">
        <is>
          <t>Jattin</t>
        </is>
      </c>
      <c r="D7" s="10" t="n"/>
      <c r="E7" s="10" t="n">
        <v>26</v>
      </c>
      <c r="F7" s="11" t="n"/>
      <c r="G7" s="11" t="n"/>
    </row>
    <row r="8" ht="18" customHeight="1">
      <c r="A8" s="12" t="n">
        <v>4</v>
      </c>
      <c r="B8" s="13" t="inlineStr"/>
      <c r="C8" s="13" t="inlineStr">
        <is>
          <t>Helpling Horas</t>
        </is>
      </c>
      <c r="D8" s="14" t="n"/>
      <c r="E8" s="14" t="n">
        <v>270</v>
      </c>
      <c r="F8" s="15" t="n"/>
      <c r="G8" s="15" t="n"/>
    </row>
    <row r="9" ht="22" customHeight="1">
      <c r="A9" s="16" t="inlineStr">
        <is>
          <t>TOTAL INGRESOS</t>
        </is>
      </c>
      <c r="D9" s="17">
        <f>SUM(D5:D8)</f>
        <v/>
      </c>
      <c r="E9" s="17">
        <f>SUM(E5:E8)</f>
        <v/>
      </c>
      <c r="F9" s="18" t="n"/>
      <c r="G9" s="18" t="n"/>
    </row>
    <row r="10" ht="8" customHeight="1">
      <c r="A10" s="19" t="n"/>
      <c r="B10" s="19" t="n"/>
      <c r="C10" s="19" t="n"/>
      <c r="D10" s="19" t="n"/>
      <c r="E10" s="19" t="n"/>
      <c r="F10" s="19" t="n"/>
      <c r="G10" s="19" t="n"/>
    </row>
    <row r="11" ht="24" customHeight="1">
      <c r="A11" s="20" t="inlineStr">
        <is>
          <t>▼ EGRESOS FIJOS</t>
        </is>
      </c>
    </row>
    <row r="12" ht="20" customHeight="1">
      <c r="A12" s="21" t="inlineStr">
        <is>
          <t>#</t>
        </is>
      </c>
      <c r="B12" s="21" t="inlineStr">
        <is>
          <t>Description</t>
        </is>
      </c>
      <c r="C12" s="21" t="inlineStr">
        <is>
          <t>ARS</t>
        </is>
      </c>
      <c r="D12" s="21" t="inlineStr">
        <is>
          <t>USD</t>
        </is>
      </c>
      <c r="E12" s="21" t="inlineStr">
        <is>
          <t>Status</t>
        </is>
      </c>
      <c r="F12" s="21" t="inlineStr"/>
      <c r="G12" s="21" t="inlineStr"/>
    </row>
    <row r="13" ht="18" customHeight="1">
      <c r="A13" s="8" t="n">
        <v>1</v>
      </c>
      <c r="B13" s="9" t="inlineStr">
        <is>
          <t>BBVA VISA</t>
        </is>
      </c>
      <c r="D13" s="10" t="n"/>
      <c r="E13" s="10" t="n">
        <v>3500</v>
      </c>
      <c r="F13" s="9" t="inlineStr"/>
      <c r="G13" s="11" t="n"/>
    </row>
    <row r="14" ht="18" customHeight="1">
      <c r="A14" s="12" t="n">
        <v>2</v>
      </c>
      <c r="B14" s="13" t="inlineStr">
        <is>
          <t>BBVA MCARD</t>
        </is>
      </c>
      <c r="D14" s="14" t="n"/>
      <c r="E14" s="14" t="n">
        <v>4700</v>
      </c>
      <c r="F14" s="13" t="inlineStr"/>
      <c r="G14" s="15" t="n"/>
    </row>
    <row r="15" ht="18" customHeight="1">
      <c r="A15" s="8" t="n">
        <v>3</v>
      </c>
      <c r="B15" s="9" t="inlineStr">
        <is>
          <t>Monotrib</t>
        </is>
      </c>
      <c r="D15" s="10" t="n"/>
      <c r="E15" s="10" t="n">
        <v>11000</v>
      </c>
      <c r="F15" s="9" t="inlineStr"/>
      <c r="G15" s="11" t="n"/>
    </row>
    <row r="16" ht="22" customHeight="1">
      <c r="A16" s="16" t="inlineStr">
        <is>
          <t>TOTAL FIJOS</t>
        </is>
      </c>
      <c r="D16" s="17">
        <f>SUM(D13:D15)</f>
        <v/>
      </c>
      <c r="E16" s="17">
        <f>SUM(E13:E15)</f>
        <v/>
      </c>
      <c r="F16" s="18" t="n"/>
      <c r="G16" s="18" t="n"/>
    </row>
    <row r="17" ht="8" customHeight="1">
      <c r="A17" s="19" t="n"/>
      <c r="B17" s="19" t="n"/>
      <c r="C17" s="19" t="n"/>
      <c r="D17" s="19" t="n"/>
      <c r="E17" s="19" t="n"/>
      <c r="F17" s="19" t="n"/>
      <c r="G17" s="19" t="n"/>
    </row>
    <row r="18" ht="24" customHeight="1">
      <c r="A18" s="22" t="inlineStr">
        <is>
          <t>📋 GASTOS DEL MES</t>
        </is>
      </c>
    </row>
    <row r="19" ht="20" customHeight="1">
      <c r="A19" s="23" t="inlineStr">
        <is>
          <t>#</t>
        </is>
      </c>
      <c r="B19" s="23" t="inlineStr">
        <is>
          <t>Date</t>
        </is>
      </c>
      <c r="C19" s="23" t="inlineStr">
        <is>
          <t>Description</t>
        </is>
      </c>
      <c r="D19" s="23" t="inlineStr">
        <is>
          <t>ARS</t>
        </is>
      </c>
      <c r="E19" s="23" t="inlineStr">
        <is>
          <t>USD</t>
        </is>
      </c>
      <c r="F19" s="23" t="inlineStr">
        <is>
          <t>Category</t>
        </is>
      </c>
      <c r="G19" s="23" t="inlineStr">
        <is>
          <t>Payment</t>
        </is>
      </c>
    </row>
    <row r="20" ht="18" customHeight="1">
      <c r="A20" s="8" t="n">
        <v>1</v>
      </c>
      <c r="B20" s="8" t="inlineStr">
        <is>
          <t>09</t>
        </is>
      </c>
      <c r="C20" s="9" t="inlineStr">
        <is>
          <t>Bolt</t>
        </is>
      </c>
      <c r="D20" s="10" t="n"/>
      <c r="E20" s="10" t="n">
        <v>11</v>
      </c>
      <c r="F20" s="9" t="inlineStr"/>
      <c r="G20" s="9" t="inlineStr"/>
    </row>
    <row r="21" ht="18" customHeight="1">
      <c r="A21" s="12" t="n">
        <v>2</v>
      </c>
      <c r="B21" s="12" t="inlineStr">
        <is>
          <t>10</t>
        </is>
      </c>
      <c r="C21" s="13" t="inlineStr">
        <is>
          <t>O2 Recarga</t>
        </is>
      </c>
      <c r="D21" s="14" t="n"/>
      <c r="E21" s="14" t="n">
        <v>15</v>
      </c>
      <c r="F21" s="13" t="inlineStr"/>
      <c r="G21" s="13" t="inlineStr"/>
    </row>
    <row r="22" ht="18" customHeight="1">
      <c r="A22" s="8" t="n">
        <v>3</v>
      </c>
      <c r="B22" s="8" t="inlineStr">
        <is>
          <t>11</t>
        </is>
      </c>
      <c r="C22" s="9" t="inlineStr">
        <is>
          <t>Anmeldung</t>
        </is>
      </c>
      <c r="D22" s="10" t="n"/>
      <c r="E22" s="10" t="n">
        <v>40</v>
      </c>
      <c r="F22" s="9" t="inlineStr"/>
      <c r="G22" s="9" t="inlineStr"/>
    </row>
    <row r="23" ht="18" customHeight="1">
      <c r="A23" s="12" t="n">
        <v>4</v>
      </c>
      <c r="B23" s="12" t="inlineStr">
        <is>
          <t>12</t>
        </is>
      </c>
      <c r="C23" s="13" t="inlineStr">
        <is>
          <t>DB Tickets</t>
        </is>
      </c>
      <c r="D23" s="14" t="n"/>
      <c r="E23" s="14" t="n">
        <v>28</v>
      </c>
      <c r="F23" s="13" t="inlineStr"/>
      <c r="G23" s="13" t="inlineStr"/>
    </row>
    <row r="24" ht="18" customHeight="1">
      <c r="A24" s="8" t="n">
        <v>5</v>
      </c>
      <c r="B24" s="8" t="inlineStr">
        <is>
          <t>15</t>
        </is>
      </c>
      <c r="C24" s="9" t="inlineStr">
        <is>
          <t>Supermercado</t>
        </is>
      </c>
      <c r="D24" s="10" t="n"/>
      <c r="E24" s="10" t="n">
        <v>45</v>
      </c>
      <c r="F24" s="9" t="inlineStr"/>
      <c r="G24" s="9" t="inlineStr"/>
    </row>
    <row r="25" ht="18" customHeight="1">
      <c r="A25" s="25" t="n"/>
      <c r="B25" s="25" t="n"/>
      <c r="C25" s="25" t="n"/>
      <c r="D25" s="25" t="n"/>
      <c r="E25" s="25" t="n"/>
      <c r="F25" s="25" t="n"/>
      <c r="G25" s="25" t="n"/>
    </row>
    <row r="26" ht="18" customHeight="1">
      <c r="A26" s="24" t="n"/>
      <c r="B26" s="24" t="n"/>
      <c r="C26" s="24" t="n"/>
      <c r="D26" s="24" t="n"/>
      <c r="E26" s="24" t="n"/>
      <c r="F26" s="24" t="n"/>
      <c r="G26" s="24" t="n"/>
    </row>
    <row r="27" ht="18" customHeight="1">
      <c r="A27" s="25" t="n"/>
      <c r="B27" s="25" t="n"/>
      <c r="C27" s="25" t="n"/>
      <c r="D27" s="25" t="n"/>
      <c r="E27" s="25" t="n"/>
      <c r="F27" s="25" t="n"/>
      <c r="G27" s="25" t="n"/>
    </row>
    <row r="28" ht="18" customHeight="1">
      <c r="A28" s="24" t="n"/>
      <c r="B28" s="24" t="n"/>
      <c r="C28" s="24" t="n"/>
      <c r="D28" s="24" t="n"/>
      <c r="E28" s="24" t="n"/>
      <c r="F28" s="24" t="n"/>
      <c r="G28" s="24" t="n"/>
    </row>
    <row r="29" ht="18" customHeight="1">
      <c r="A29" s="25" t="n"/>
      <c r="B29" s="25" t="n"/>
      <c r="C29" s="25" t="n"/>
      <c r="D29" s="25" t="n"/>
      <c r="E29" s="25" t="n"/>
      <c r="F29" s="25" t="n"/>
      <c r="G29" s="25" t="n"/>
    </row>
    <row r="30" ht="18" customHeight="1">
      <c r="A30" s="24" t="n"/>
      <c r="B30" s="24" t="n"/>
      <c r="C30" s="24" t="n"/>
      <c r="D30" s="24" t="n"/>
      <c r="E30" s="24" t="n"/>
      <c r="F30" s="24" t="n"/>
      <c r="G30" s="24" t="n"/>
    </row>
    <row r="31" ht="18" customHeight="1">
      <c r="A31" s="25" t="n"/>
      <c r="B31" s="25" t="n"/>
      <c r="C31" s="25" t="n"/>
      <c r="D31" s="25" t="n"/>
      <c r="E31" s="25" t="n"/>
      <c r="F31" s="25" t="n"/>
      <c r="G31" s="25" t="n"/>
    </row>
    <row r="32" ht="18" customHeight="1">
      <c r="A32" s="24" t="n"/>
      <c r="B32" s="24" t="n"/>
      <c r="C32" s="24" t="n"/>
      <c r="D32" s="24" t="n"/>
      <c r="E32" s="24" t="n"/>
      <c r="F32" s="24" t="n"/>
      <c r="G32" s="24" t="n"/>
    </row>
    <row r="33" ht="18" customHeight="1">
      <c r="A33" s="25" t="n"/>
      <c r="B33" s="25" t="n"/>
      <c r="C33" s="25" t="n"/>
      <c r="D33" s="25" t="n"/>
      <c r="E33" s="25" t="n"/>
      <c r="F33" s="25" t="n"/>
      <c r="G33" s="25" t="n"/>
    </row>
    <row r="34" ht="18" customHeight="1">
      <c r="A34" s="24" t="n"/>
      <c r="B34" s="24" t="n"/>
      <c r="C34" s="24" t="n"/>
      <c r="D34" s="24" t="n"/>
      <c r="E34" s="24" t="n"/>
      <c r="F34" s="24" t="n"/>
      <c r="G34" s="24" t="n"/>
    </row>
    <row r="35" ht="18" customHeight="1">
      <c r="A35" s="25" t="n"/>
      <c r="B35" s="25" t="n"/>
      <c r="C35" s="25" t="n"/>
      <c r="D35" s="25" t="n"/>
      <c r="E35" s="25" t="n"/>
      <c r="F35" s="25" t="n"/>
      <c r="G35" s="25" t="n"/>
    </row>
    <row r="36" ht="18" customHeight="1">
      <c r="A36" s="24" t="n"/>
      <c r="B36" s="24" t="n"/>
      <c r="C36" s="24" t="n"/>
      <c r="D36" s="24" t="n"/>
      <c r="E36" s="24" t="n"/>
      <c r="F36" s="24" t="n"/>
      <c r="G36" s="24" t="n"/>
    </row>
    <row r="37" ht="18" customHeight="1">
      <c r="A37" s="25" t="n"/>
      <c r="B37" s="25" t="n"/>
      <c r="C37" s="25" t="n"/>
      <c r="D37" s="25" t="n"/>
      <c r="E37" s="25" t="n"/>
      <c r="F37" s="25" t="n"/>
      <c r="G37" s="25" t="n"/>
    </row>
    <row r="38" ht="18" customHeight="1">
      <c r="A38" s="24" t="n"/>
      <c r="B38" s="24" t="n"/>
      <c r="C38" s="24" t="n"/>
      <c r="D38" s="24" t="n"/>
      <c r="E38" s="24" t="n"/>
      <c r="F38" s="24" t="n"/>
      <c r="G38" s="24" t="n"/>
    </row>
    <row r="39" ht="18" customHeight="1">
      <c r="A39" s="25" t="n"/>
      <c r="B39" s="25" t="n"/>
      <c r="C39" s="25" t="n"/>
      <c r="D39" s="25" t="n"/>
      <c r="E39" s="25" t="n"/>
      <c r="F39" s="25" t="n"/>
      <c r="G39" s="25" t="n"/>
    </row>
    <row r="40" ht="18" customHeight="1">
      <c r="A40" s="24" t="n"/>
      <c r="B40" s="24" t="n"/>
      <c r="C40" s="24" t="n"/>
      <c r="D40" s="24" t="n"/>
      <c r="E40" s="24" t="n"/>
      <c r="F40" s="24" t="n"/>
      <c r="G40" s="24" t="n"/>
    </row>
    <row r="41" ht="18" customHeight="1">
      <c r="A41" s="25" t="n"/>
      <c r="B41" s="25" t="n"/>
      <c r="C41" s="25" t="n"/>
      <c r="D41" s="25" t="n"/>
      <c r="E41" s="25" t="n"/>
      <c r="F41" s="25" t="n"/>
      <c r="G41" s="25" t="n"/>
    </row>
    <row r="42" ht="18" customHeight="1">
      <c r="A42" s="24" t="n"/>
      <c r="B42" s="24" t="n"/>
      <c r="C42" s="24" t="n"/>
      <c r="D42" s="24" t="n"/>
      <c r="E42" s="24" t="n"/>
      <c r="F42" s="24" t="n"/>
      <c r="G42" s="24" t="n"/>
    </row>
    <row r="43" ht="18" customHeight="1">
      <c r="A43" s="25" t="n"/>
      <c r="B43" s="25" t="n"/>
      <c r="C43" s="25" t="n"/>
      <c r="D43" s="25" t="n"/>
      <c r="E43" s="25" t="n"/>
      <c r="F43" s="25" t="n"/>
      <c r="G43" s="25" t="n"/>
    </row>
    <row r="44" ht="18" customHeight="1">
      <c r="A44" s="24" t="n"/>
      <c r="B44" s="24" t="n"/>
      <c r="C44" s="24" t="n"/>
      <c r="D44" s="24" t="n"/>
      <c r="E44" s="24" t="n"/>
      <c r="F44" s="24" t="n"/>
      <c r="G44" s="24" t="n"/>
    </row>
    <row r="45" ht="22" customHeight="1">
      <c r="A45" s="16" t="inlineStr">
        <is>
          <t>TOTAL VARIABLE</t>
        </is>
      </c>
      <c r="D45" s="17">
        <f>SUM(D20:D44)</f>
        <v/>
      </c>
      <c r="E45" s="17">
        <f>SUM(E20:E44)</f>
        <v/>
      </c>
      <c r="F45" s="18" t="n"/>
      <c r="G45" s="18" t="n"/>
    </row>
    <row r="46" ht="8" customHeight="1">
      <c r="A46" s="19" t="n"/>
      <c r="B46" s="19" t="n"/>
      <c r="C46" s="19" t="n"/>
      <c r="D46" s="19" t="n"/>
      <c r="E46" s="19" t="n"/>
      <c r="F46" s="19" t="n"/>
      <c r="G46" s="19" t="n"/>
    </row>
    <row r="47" ht="26" customHeight="1">
      <c r="A47" s="26" t="inlineStr">
        <is>
          <t>💰 BALANCE</t>
        </is>
      </c>
      <c r="D47" s="27">
        <f>D9-D16-D45</f>
        <v/>
      </c>
      <c r="E47" s="27">
        <f>E9-E16-E45</f>
        <v/>
      </c>
      <c r="F47" s="28" t="n"/>
      <c r="G47" s="28" t="n"/>
    </row>
  </sheetData>
  <mergeCells count="12">
    <mergeCell ref="B13:C13"/>
    <mergeCell ref="A1:G1"/>
    <mergeCell ref="B15:C15"/>
    <mergeCell ref="A18:G18"/>
    <mergeCell ref="A45:C45"/>
    <mergeCell ref="A47:C47"/>
    <mergeCell ref="A3:G3"/>
    <mergeCell ref="A9:C9"/>
    <mergeCell ref="A2"/>
    <mergeCell ref="B14:C14"/>
    <mergeCell ref="A11:G11"/>
    <mergeCell ref="A16:C16"/>
  </mergeCells>
  <dataValidations count="3">
    <dataValidation sqref="F20:F44" showDropDown="0" showInputMessage="0" showErrorMessage="0" allowBlank="1" type="list">
      <formula1>"Food,Transport,Health,Utilities,Entertainment,Tax,Savings,Big Buy,Personal,Other"</formula1>
    </dataValidation>
    <dataValidation sqref="G20:G44" showDropDown="0" showInputMessage="0" showErrorMessage="0" allowBlank="1" type="list">
      <formula1>"Cash ARS,USD Cash,Wise,Binance,MercadoPago,Tarjeta"</formula1>
    </dataValidation>
    <dataValidation sqref="E13:E15" showDropDown="0" showInputMessage="0" showErrorMessage="0" allowBlank="1" type="list">
      <formula1>"Pagado,Pendiente,Auto"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2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 ht="30" customHeight="1">
      <c r="A1" s="1" t="inlineStr">
        <is>
          <t>💸 APR 2024 — GASTOS MENSUALES</t>
        </is>
      </c>
    </row>
    <row r="2" ht="22" customHeight="1">
      <c r="A2" s="2" t="inlineStr">
        <is>
          <t>USD/ARS</t>
        </is>
      </c>
      <c r="B2" s="3" t="n">
        <v>1</v>
      </c>
      <c r="C2" s="4" t="inlineStr">
        <is>
          <t>← update monthly</t>
        </is>
      </c>
      <c r="D2" s="5" t="n"/>
      <c r="E2" s="5" t="n"/>
      <c r="F2" s="5" t="n"/>
      <c r="G2" s="5" t="n"/>
    </row>
    <row r="3" ht="24" customHeight="1">
      <c r="A3" s="6" t="inlineStr">
        <is>
          <t>▲ INGRESOS</t>
        </is>
      </c>
    </row>
    <row r="4" ht="20" customHeight="1">
      <c r="A4" s="7" t="inlineStr">
        <is>
          <t>#</t>
        </is>
      </c>
      <c r="B4" s="7" t="inlineStr">
        <is>
          <t>Source</t>
        </is>
      </c>
      <c r="C4" s="7" t="inlineStr">
        <is>
          <t>Description</t>
        </is>
      </c>
      <c r="D4" s="7" t="inlineStr">
        <is>
          <t>ARS</t>
        </is>
      </c>
      <c r="E4" s="7" t="inlineStr">
        <is>
          <t>USD</t>
        </is>
      </c>
    </row>
    <row r="5" ht="18" customHeight="1">
      <c r="A5" s="8" t="n">
        <v>1</v>
      </c>
      <c r="B5" s="9" t="inlineStr"/>
      <c r="C5" s="9" t="inlineStr">
        <is>
          <t>Andalucia Propi</t>
        </is>
      </c>
      <c r="D5" s="10" t="n"/>
      <c r="E5" s="10" t="n">
        <v>110</v>
      </c>
      <c r="F5" s="11" t="n"/>
      <c r="G5" s="11" t="n"/>
    </row>
    <row r="6" ht="18" customHeight="1">
      <c r="A6" s="12" t="n">
        <v>2</v>
      </c>
      <c r="B6" s="13" t="inlineStr"/>
      <c r="C6" s="13" t="inlineStr">
        <is>
          <t>Helpling Abril</t>
        </is>
      </c>
      <c r="D6" s="14" t="n"/>
      <c r="E6" s="14" t="n">
        <v>684</v>
      </c>
      <c r="F6" s="15" t="n"/>
      <c r="G6" s="15" t="n"/>
    </row>
    <row r="7" ht="22" customHeight="1">
      <c r="A7" s="16" t="inlineStr">
        <is>
          <t>TOTAL INGRESOS</t>
        </is>
      </c>
      <c r="D7" s="17">
        <f>SUM(D5:D6)</f>
        <v/>
      </c>
      <c r="E7" s="17">
        <f>SUM(E5:E6)</f>
        <v/>
      </c>
      <c r="F7" s="18" t="n"/>
      <c r="G7" s="18" t="n"/>
    </row>
    <row r="8" ht="8" customHeight="1">
      <c r="A8" s="19" t="n"/>
      <c r="B8" s="19" t="n"/>
      <c r="C8" s="19" t="n"/>
      <c r="D8" s="19" t="n"/>
      <c r="E8" s="19" t="n"/>
      <c r="F8" s="19" t="n"/>
      <c r="G8" s="19" t="n"/>
    </row>
    <row r="9" ht="24" customHeight="1">
      <c r="A9" s="20" t="inlineStr">
        <is>
          <t>▼ EGRESOS FIJOS</t>
        </is>
      </c>
    </row>
    <row r="10" ht="20" customHeight="1">
      <c r="A10" s="21" t="inlineStr">
        <is>
          <t>#</t>
        </is>
      </c>
      <c r="B10" s="21" t="inlineStr">
        <is>
          <t>Description</t>
        </is>
      </c>
      <c r="C10" s="21" t="inlineStr">
        <is>
          <t>ARS</t>
        </is>
      </c>
      <c r="D10" s="21" t="inlineStr">
        <is>
          <t>USD</t>
        </is>
      </c>
      <c r="E10" s="21" t="inlineStr">
        <is>
          <t>Status</t>
        </is>
      </c>
      <c r="F10" s="21" t="inlineStr"/>
      <c r="G10" s="21" t="inlineStr"/>
    </row>
    <row r="11" ht="18" customHeight="1">
      <c r="A11" s="8" t="n">
        <v>1</v>
      </c>
      <c r="B11" s="9" t="inlineStr">
        <is>
          <t>Monotrib</t>
        </is>
      </c>
      <c r="D11" s="10" t="n"/>
      <c r="E11" s="10" t="n">
        <v>11000</v>
      </c>
      <c r="F11" s="9" t="inlineStr"/>
      <c r="G11" s="11" t="n"/>
    </row>
    <row r="12" ht="18" customHeight="1">
      <c r="A12" s="12" t="n">
        <v>2</v>
      </c>
      <c r="B12" s="13" t="inlineStr">
        <is>
          <t>BBVA VISA</t>
        </is>
      </c>
      <c r="D12" s="14" t="n"/>
      <c r="E12" s="14" t="n">
        <v>3500</v>
      </c>
      <c r="F12" s="13" t="inlineStr"/>
      <c r="G12" s="15" t="n"/>
    </row>
    <row r="13" ht="18" customHeight="1">
      <c r="A13" s="8" t="n">
        <v>3</v>
      </c>
      <c r="B13" s="9" t="inlineStr">
        <is>
          <t>BBVA MCARD</t>
        </is>
      </c>
      <c r="D13" s="10" t="n"/>
      <c r="E13" s="10" t="n">
        <v>4700</v>
      </c>
      <c r="F13" s="9" t="inlineStr"/>
      <c r="G13" s="11" t="n"/>
    </row>
    <row r="14" ht="22" customHeight="1">
      <c r="A14" s="16" t="inlineStr">
        <is>
          <t>TOTAL FIJOS</t>
        </is>
      </c>
      <c r="D14" s="17">
        <f>SUM(D11:D13)</f>
        <v/>
      </c>
      <c r="E14" s="17">
        <f>SUM(E11:E13)</f>
        <v/>
      </c>
      <c r="F14" s="18" t="n"/>
      <c r="G14" s="18" t="n"/>
    </row>
    <row r="15" ht="8" customHeight="1">
      <c r="A15" s="19" t="n"/>
      <c r="B15" s="19" t="n"/>
      <c r="C15" s="19" t="n"/>
      <c r="D15" s="19" t="n"/>
      <c r="E15" s="19" t="n"/>
      <c r="F15" s="19" t="n"/>
      <c r="G15" s="19" t="n"/>
    </row>
    <row r="16" ht="24" customHeight="1">
      <c r="A16" s="22" t="inlineStr">
        <is>
          <t>📋 GASTOS DEL MES</t>
        </is>
      </c>
    </row>
    <row r="17" ht="20" customHeight="1">
      <c r="A17" s="23" t="inlineStr">
        <is>
          <t>#</t>
        </is>
      </c>
      <c r="B17" s="23" t="inlineStr">
        <is>
          <t>Date</t>
        </is>
      </c>
      <c r="C17" s="23" t="inlineStr">
        <is>
          <t>Description</t>
        </is>
      </c>
      <c r="D17" s="23" t="inlineStr">
        <is>
          <t>ARS</t>
        </is>
      </c>
      <c r="E17" s="23" t="inlineStr">
        <is>
          <t>USD</t>
        </is>
      </c>
      <c r="F17" s="23" t="inlineStr">
        <is>
          <t>Category</t>
        </is>
      </c>
      <c r="G17" s="23" t="inlineStr">
        <is>
          <t>Payment</t>
        </is>
      </c>
    </row>
    <row r="18" ht="18" customHeight="1">
      <c r="A18" s="24" t="n"/>
      <c r="B18" s="24" t="n"/>
      <c r="C18" s="24" t="n"/>
      <c r="D18" s="24" t="n"/>
      <c r="E18" s="24" t="n"/>
      <c r="F18" s="24" t="n"/>
      <c r="G18" s="24" t="n"/>
    </row>
    <row r="19" ht="18" customHeight="1">
      <c r="A19" s="25" t="n"/>
      <c r="B19" s="25" t="n"/>
      <c r="C19" s="25" t="n"/>
      <c r="D19" s="25" t="n"/>
      <c r="E19" s="25" t="n"/>
      <c r="F19" s="25" t="n"/>
      <c r="G19" s="25" t="n"/>
    </row>
    <row r="20" ht="18" customHeight="1">
      <c r="A20" s="24" t="n"/>
      <c r="B20" s="24" t="n"/>
      <c r="C20" s="24" t="n"/>
      <c r="D20" s="24" t="n"/>
      <c r="E20" s="24" t="n"/>
      <c r="F20" s="24" t="n"/>
      <c r="G20" s="24" t="n"/>
    </row>
    <row r="21" ht="18" customHeight="1">
      <c r="A21" s="25" t="n"/>
      <c r="B21" s="25" t="n"/>
      <c r="C21" s="25" t="n"/>
      <c r="D21" s="25" t="n"/>
      <c r="E21" s="25" t="n"/>
      <c r="F21" s="25" t="n"/>
      <c r="G21" s="25" t="n"/>
    </row>
    <row r="22" ht="18" customHeight="1">
      <c r="A22" s="24" t="n"/>
      <c r="B22" s="24" t="n"/>
      <c r="C22" s="24" t="n"/>
      <c r="D22" s="24" t="n"/>
      <c r="E22" s="24" t="n"/>
      <c r="F22" s="24" t="n"/>
      <c r="G22" s="24" t="n"/>
    </row>
    <row r="23" ht="18" customHeight="1">
      <c r="A23" s="25" t="n"/>
      <c r="B23" s="25" t="n"/>
      <c r="C23" s="25" t="n"/>
      <c r="D23" s="25" t="n"/>
      <c r="E23" s="25" t="n"/>
      <c r="F23" s="25" t="n"/>
      <c r="G23" s="25" t="n"/>
    </row>
    <row r="24" ht="18" customHeight="1">
      <c r="A24" s="24" t="n"/>
      <c r="B24" s="24" t="n"/>
      <c r="C24" s="24" t="n"/>
      <c r="D24" s="24" t="n"/>
      <c r="E24" s="24" t="n"/>
      <c r="F24" s="24" t="n"/>
      <c r="G24" s="24" t="n"/>
    </row>
    <row r="25" ht="18" customHeight="1">
      <c r="A25" s="25" t="n"/>
      <c r="B25" s="25" t="n"/>
      <c r="C25" s="25" t="n"/>
      <c r="D25" s="25" t="n"/>
      <c r="E25" s="25" t="n"/>
      <c r="F25" s="25" t="n"/>
      <c r="G25" s="25" t="n"/>
    </row>
    <row r="26" ht="18" customHeight="1">
      <c r="A26" s="24" t="n"/>
      <c r="B26" s="24" t="n"/>
      <c r="C26" s="24" t="n"/>
      <c r="D26" s="24" t="n"/>
      <c r="E26" s="24" t="n"/>
      <c r="F26" s="24" t="n"/>
      <c r="G26" s="24" t="n"/>
    </row>
    <row r="27" ht="18" customHeight="1">
      <c r="A27" s="25" t="n"/>
      <c r="B27" s="25" t="n"/>
      <c r="C27" s="25" t="n"/>
      <c r="D27" s="25" t="n"/>
      <c r="E27" s="25" t="n"/>
      <c r="F27" s="25" t="n"/>
      <c r="G27" s="25" t="n"/>
    </row>
    <row r="28" ht="18" customHeight="1">
      <c r="A28" s="24" t="n"/>
      <c r="B28" s="24" t="n"/>
      <c r="C28" s="24" t="n"/>
      <c r="D28" s="24" t="n"/>
      <c r="E28" s="24" t="n"/>
      <c r="F28" s="24" t="n"/>
      <c r="G28" s="24" t="n"/>
    </row>
    <row r="29" ht="18" customHeight="1">
      <c r="A29" s="25" t="n"/>
      <c r="B29" s="25" t="n"/>
      <c r="C29" s="25" t="n"/>
      <c r="D29" s="25" t="n"/>
      <c r="E29" s="25" t="n"/>
      <c r="F29" s="25" t="n"/>
      <c r="G29" s="25" t="n"/>
    </row>
    <row r="30" ht="18" customHeight="1">
      <c r="A30" s="24" t="n"/>
      <c r="B30" s="24" t="n"/>
      <c r="C30" s="24" t="n"/>
      <c r="D30" s="24" t="n"/>
      <c r="E30" s="24" t="n"/>
      <c r="F30" s="24" t="n"/>
      <c r="G30" s="24" t="n"/>
    </row>
    <row r="31" ht="18" customHeight="1">
      <c r="A31" s="25" t="n"/>
      <c r="B31" s="25" t="n"/>
      <c r="C31" s="25" t="n"/>
      <c r="D31" s="25" t="n"/>
      <c r="E31" s="25" t="n"/>
      <c r="F31" s="25" t="n"/>
      <c r="G31" s="25" t="n"/>
    </row>
    <row r="32" ht="18" customHeight="1">
      <c r="A32" s="24" t="n"/>
      <c r="B32" s="24" t="n"/>
      <c r="C32" s="24" t="n"/>
      <c r="D32" s="24" t="n"/>
      <c r="E32" s="24" t="n"/>
      <c r="F32" s="24" t="n"/>
      <c r="G32" s="24" t="n"/>
    </row>
    <row r="33" ht="18" customHeight="1">
      <c r="A33" s="25" t="n"/>
      <c r="B33" s="25" t="n"/>
      <c r="C33" s="25" t="n"/>
      <c r="D33" s="25" t="n"/>
      <c r="E33" s="25" t="n"/>
      <c r="F33" s="25" t="n"/>
      <c r="G33" s="25" t="n"/>
    </row>
    <row r="34" ht="18" customHeight="1">
      <c r="A34" s="24" t="n"/>
      <c r="B34" s="24" t="n"/>
      <c r="C34" s="24" t="n"/>
      <c r="D34" s="24" t="n"/>
      <c r="E34" s="24" t="n"/>
      <c r="F34" s="24" t="n"/>
      <c r="G34" s="24" t="n"/>
    </row>
    <row r="35" ht="18" customHeight="1">
      <c r="A35" s="25" t="n"/>
      <c r="B35" s="25" t="n"/>
      <c r="C35" s="25" t="n"/>
      <c r="D35" s="25" t="n"/>
      <c r="E35" s="25" t="n"/>
      <c r="F35" s="25" t="n"/>
      <c r="G35" s="25" t="n"/>
    </row>
    <row r="36" ht="18" customHeight="1">
      <c r="A36" s="24" t="n"/>
      <c r="B36" s="24" t="n"/>
      <c r="C36" s="24" t="n"/>
      <c r="D36" s="24" t="n"/>
      <c r="E36" s="24" t="n"/>
      <c r="F36" s="24" t="n"/>
      <c r="G36" s="24" t="n"/>
    </row>
    <row r="37" ht="18" customHeight="1">
      <c r="A37" s="25" t="n"/>
      <c r="B37" s="25" t="n"/>
      <c r="C37" s="25" t="n"/>
      <c r="D37" s="25" t="n"/>
      <c r="E37" s="25" t="n"/>
      <c r="F37" s="25" t="n"/>
      <c r="G37" s="25" t="n"/>
    </row>
    <row r="38" ht="18" customHeight="1">
      <c r="A38" s="24" t="n"/>
      <c r="B38" s="24" t="n"/>
      <c r="C38" s="24" t="n"/>
      <c r="D38" s="24" t="n"/>
      <c r="E38" s="24" t="n"/>
      <c r="F38" s="24" t="n"/>
      <c r="G38" s="24" t="n"/>
    </row>
    <row r="39" ht="18" customHeight="1">
      <c r="A39" s="25" t="n"/>
      <c r="B39" s="25" t="n"/>
      <c r="C39" s="25" t="n"/>
      <c r="D39" s="25" t="n"/>
      <c r="E39" s="25" t="n"/>
      <c r="F39" s="25" t="n"/>
      <c r="G39" s="25" t="n"/>
    </row>
    <row r="40" ht="18" customHeight="1">
      <c r="A40" s="24" t="n"/>
      <c r="B40" s="24" t="n"/>
      <c r="C40" s="24" t="n"/>
      <c r="D40" s="24" t="n"/>
      <c r="E40" s="24" t="n"/>
      <c r="F40" s="24" t="n"/>
      <c r="G40" s="24" t="n"/>
    </row>
    <row r="41" ht="18" customHeight="1">
      <c r="A41" s="25" t="n"/>
      <c r="B41" s="25" t="n"/>
      <c r="C41" s="25" t="n"/>
      <c r="D41" s="25" t="n"/>
      <c r="E41" s="25" t="n"/>
      <c r="F41" s="25" t="n"/>
      <c r="G41" s="25" t="n"/>
    </row>
    <row r="42" ht="18" customHeight="1">
      <c r="A42" s="24" t="n"/>
      <c r="B42" s="24" t="n"/>
      <c r="C42" s="24" t="n"/>
      <c r="D42" s="24" t="n"/>
      <c r="E42" s="24" t="n"/>
      <c r="F42" s="24" t="n"/>
      <c r="G42" s="24" t="n"/>
    </row>
    <row r="43" ht="22" customHeight="1">
      <c r="A43" s="16" t="inlineStr">
        <is>
          <t>TOTAL VARIABLE</t>
        </is>
      </c>
      <c r="D43" s="17">
        <f>SUM(D18:D42)</f>
        <v/>
      </c>
      <c r="E43" s="17">
        <f>SUM(E18:E42)</f>
        <v/>
      </c>
      <c r="F43" s="18" t="n"/>
      <c r="G43" s="18" t="n"/>
    </row>
    <row r="44" ht="8" customHeight="1">
      <c r="A44" s="19" t="n"/>
      <c r="B44" s="19" t="n"/>
      <c r="C44" s="19" t="n"/>
      <c r="D44" s="19" t="n"/>
      <c r="E44" s="19" t="n"/>
      <c r="F44" s="19" t="n"/>
      <c r="G44" s="19" t="n"/>
    </row>
    <row r="45" ht="26" customHeight="1">
      <c r="A45" s="26" t="inlineStr">
        <is>
          <t>💰 BALANCE</t>
        </is>
      </c>
      <c r="D45" s="27">
        <f>D7-D14-D43</f>
        <v/>
      </c>
      <c r="E45" s="27">
        <f>E7-E14-E43</f>
        <v/>
      </c>
      <c r="F45" s="28" t="n"/>
      <c r="G45" s="28" t="n"/>
    </row>
  </sheetData>
  <mergeCells count="12">
    <mergeCell ref="B13:C13"/>
    <mergeCell ref="A1:G1"/>
    <mergeCell ref="A9:G9"/>
    <mergeCell ref="B11:C11"/>
    <mergeCell ref="A45:C45"/>
    <mergeCell ref="A3:G3"/>
    <mergeCell ref="A14:C14"/>
    <mergeCell ref="A2"/>
    <mergeCell ref="A16:G16"/>
    <mergeCell ref="A7:C7"/>
    <mergeCell ref="A43:C43"/>
    <mergeCell ref="B12:C12"/>
  </mergeCells>
  <dataValidations count="3">
    <dataValidation sqref="F18:F42" showDropDown="0" showInputMessage="0" showErrorMessage="0" allowBlank="1" type="list">
      <formula1>"Food,Transport,Health,Utilities,Entertainment,Tax,Savings,Big Buy,Personal,Other"</formula1>
    </dataValidation>
    <dataValidation sqref="G18:G42" showDropDown="0" showInputMessage="0" showErrorMessage="0" allowBlank="1" type="list">
      <formula1>"Cash ARS,USD Cash,Wise,Binance,MercadoPago,Tarjeta"</formula1>
    </dataValidation>
    <dataValidation sqref="E11:E13" showDropDown="0" showInputMessage="0" showErrorMessage="0" allowBlank="1" type="list">
      <formula1>"Pagado,Pendiente,Auto"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2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 ht="30" customHeight="1">
      <c r="A1" s="1" t="inlineStr">
        <is>
          <t>💸 MAY 2024 — GASTOS MENSUALES</t>
        </is>
      </c>
    </row>
    <row r="2" ht="22" customHeight="1">
      <c r="A2" s="2" t="inlineStr">
        <is>
          <t>USD/ARS</t>
        </is>
      </c>
      <c r="B2" s="3" t="n">
        <v>1</v>
      </c>
      <c r="C2" s="4" t="inlineStr">
        <is>
          <t>← update monthly</t>
        </is>
      </c>
      <c r="D2" s="5" t="n"/>
      <c r="E2" s="5" t="n"/>
      <c r="F2" s="5" t="n"/>
      <c r="G2" s="5" t="n"/>
    </row>
    <row r="3" ht="24" customHeight="1">
      <c r="A3" s="6" t="inlineStr">
        <is>
          <t>▲ INGRESOS</t>
        </is>
      </c>
    </row>
    <row r="4" ht="20" customHeight="1">
      <c r="A4" s="7" t="inlineStr">
        <is>
          <t>#</t>
        </is>
      </c>
      <c r="B4" s="7" t="inlineStr">
        <is>
          <t>Source</t>
        </is>
      </c>
      <c r="C4" s="7" t="inlineStr">
        <is>
          <t>Description</t>
        </is>
      </c>
      <c r="D4" s="7" t="inlineStr">
        <is>
          <t>ARS</t>
        </is>
      </c>
      <c r="E4" s="7" t="inlineStr">
        <is>
          <t>USD</t>
        </is>
      </c>
    </row>
    <row r="5" ht="18" customHeight="1">
      <c r="A5" s="8" t="n">
        <v>1</v>
      </c>
      <c r="B5" s="9" t="inlineStr"/>
      <c r="C5" s="9" t="inlineStr">
        <is>
          <t>Hellpling Ramona</t>
        </is>
      </c>
      <c r="D5" s="10" t="n"/>
      <c r="E5" s="10" t="n">
        <v>25</v>
      </c>
      <c r="F5" s="11" t="n"/>
      <c r="G5" s="11" t="n"/>
    </row>
    <row r="6" ht="18" customHeight="1">
      <c r="A6" s="12" t="n">
        <v>2</v>
      </c>
      <c r="B6" s="13" t="inlineStr"/>
      <c r="C6" s="13" t="inlineStr">
        <is>
          <t>Bici SP blanca</t>
        </is>
      </c>
      <c r="D6" s="14" t="n"/>
      <c r="E6" s="14" t="n">
        <v>145</v>
      </c>
      <c r="F6" s="15" t="n"/>
      <c r="G6" s="15" t="n"/>
    </row>
    <row r="7" ht="18" customHeight="1">
      <c r="A7" s="8" t="n">
        <v>3</v>
      </c>
      <c r="B7" s="9" t="inlineStr"/>
      <c r="C7" s="9" t="inlineStr">
        <is>
          <t>Bici Sp Elops</t>
        </is>
      </c>
      <c r="D7" s="10" t="n"/>
      <c r="E7" s="10" t="n">
        <v>120</v>
      </c>
      <c r="F7" s="11" t="n"/>
      <c r="G7" s="11" t="n"/>
    </row>
    <row r="8" ht="18" customHeight="1">
      <c r="A8" s="12" t="n">
        <v>4</v>
      </c>
      <c r="B8" s="13" t="inlineStr"/>
      <c r="C8" s="13" t="inlineStr">
        <is>
          <t>Amazon Helpling</t>
        </is>
      </c>
      <c r="D8" s="14" t="n"/>
      <c r="E8" s="14" t="n">
        <v>200</v>
      </c>
      <c r="F8" s="15" t="n"/>
      <c r="G8" s="15" t="n"/>
    </row>
    <row r="9" ht="22" customHeight="1">
      <c r="A9" s="16" t="inlineStr">
        <is>
          <t>TOTAL INGRESOS</t>
        </is>
      </c>
      <c r="D9" s="17">
        <f>SUM(D5:D8)</f>
        <v/>
      </c>
      <c r="E9" s="17">
        <f>SUM(E5:E8)</f>
        <v/>
      </c>
      <c r="F9" s="18" t="n"/>
      <c r="G9" s="18" t="n"/>
    </row>
    <row r="10" ht="8" customHeight="1">
      <c r="A10" s="19" t="n"/>
      <c r="B10" s="19" t="n"/>
      <c r="C10" s="19" t="n"/>
      <c r="D10" s="19" t="n"/>
      <c r="E10" s="19" t="n"/>
      <c r="F10" s="19" t="n"/>
      <c r="G10" s="19" t="n"/>
    </row>
    <row r="11" ht="24" customHeight="1">
      <c r="A11" s="20" t="inlineStr">
        <is>
          <t>▼ EGRESOS FIJOS</t>
        </is>
      </c>
    </row>
    <row r="12" ht="20" customHeight="1">
      <c r="A12" s="21" t="inlineStr">
        <is>
          <t>#</t>
        </is>
      </c>
      <c r="B12" s="21" t="inlineStr">
        <is>
          <t>Description</t>
        </is>
      </c>
      <c r="C12" s="21" t="inlineStr">
        <is>
          <t>ARS</t>
        </is>
      </c>
      <c r="D12" s="21" t="inlineStr">
        <is>
          <t>USD</t>
        </is>
      </c>
      <c r="E12" s="21" t="inlineStr">
        <is>
          <t>Status</t>
        </is>
      </c>
      <c r="F12" s="21" t="inlineStr"/>
      <c r="G12" s="21" t="inlineStr"/>
    </row>
    <row r="13" ht="18" customHeight="1">
      <c r="A13" s="8" t="n">
        <v>1</v>
      </c>
      <c r="B13" s="9" t="inlineStr">
        <is>
          <t>DAK</t>
        </is>
      </c>
      <c r="D13" s="10" t="n"/>
      <c r="E13" s="10" t="n">
        <v>300</v>
      </c>
      <c r="F13" s="9" t="inlineStr"/>
      <c r="G13" s="11" t="n"/>
    </row>
    <row r="14" ht="18" customHeight="1">
      <c r="A14" s="12" t="n">
        <v>2</v>
      </c>
      <c r="B14" s="13" t="inlineStr">
        <is>
          <t>Monotrib</t>
        </is>
      </c>
      <c r="D14" s="14" t="n"/>
      <c r="E14" s="14" t="n">
        <v>11000</v>
      </c>
      <c r="F14" s="13" t="inlineStr"/>
      <c r="G14" s="15" t="n"/>
    </row>
    <row r="15" ht="18" customHeight="1">
      <c r="A15" s="8" t="n">
        <v>3</v>
      </c>
      <c r="B15" s="9" t="inlineStr">
        <is>
          <t>Exp Arenales</t>
        </is>
      </c>
      <c r="D15" s="10" t="n"/>
      <c r="E15" s="10" t="n">
        <v>42000</v>
      </c>
      <c r="F15" s="9" t="inlineStr"/>
      <c r="G15" s="11" t="n"/>
    </row>
    <row r="16" ht="22" customHeight="1">
      <c r="A16" s="16" t="inlineStr">
        <is>
          <t>TOTAL FIJOS</t>
        </is>
      </c>
      <c r="D16" s="17">
        <f>SUM(D13:D15)</f>
        <v/>
      </c>
      <c r="E16" s="17">
        <f>SUM(E13:E15)</f>
        <v/>
      </c>
      <c r="F16" s="18" t="n"/>
      <c r="G16" s="18" t="n"/>
    </row>
    <row r="17" ht="8" customHeight="1">
      <c r="A17" s="19" t="n"/>
      <c r="B17" s="19" t="n"/>
      <c r="C17" s="19" t="n"/>
      <c r="D17" s="19" t="n"/>
      <c r="E17" s="19" t="n"/>
      <c r="F17" s="19" t="n"/>
      <c r="G17" s="19" t="n"/>
    </row>
    <row r="18" ht="24" customHeight="1">
      <c r="A18" s="22" t="inlineStr">
        <is>
          <t>📋 GASTOS DEL MES</t>
        </is>
      </c>
    </row>
    <row r="19" ht="20" customHeight="1">
      <c r="A19" s="23" t="inlineStr">
        <is>
          <t>#</t>
        </is>
      </c>
      <c r="B19" s="23" t="inlineStr">
        <is>
          <t>Date</t>
        </is>
      </c>
      <c r="C19" s="23" t="inlineStr">
        <is>
          <t>Description</t>
        </is>
      </c>
      <c r="D19" s="23" t="inlineStr">
        <is>
          <t>ARS</t>
        </is>
      </c>
      <c r="E19" s="23" t="inlineStr">
        <is>
          <t>USD</t>
        </is>
      </c>
      <c r="F19" s="23" t="inlineStr">
        <is>
          <t>Category</t>
        </is>
      </c>
      <c r="G19" s="23" t="inlineStr">
        <is>
          <t>Payment</t>
        </is>
      </c>
    </row>
    <row r="20" ht="18" customHeight="1">
      <c r="A20" s="24" t="n"/>
      <c r="B20" s="24" t="n"/>
      <c r="C20" s="24" t="n"/>
      <c r="D20" s="24" t="n"/>
      <c r="E20" s="24" t="n"/>
      <c r="F20" s="24" t="n"/>
      <c r="G20" s="24" t="n"/>
    </row>
    <row r="21" ht="18" customHeight="1">
      <c r="A21" s="25" t="n"/>
      <c r="B21" s="25" t="n"/>
      <c r="C21" s="25" t="n"/>
      <c r="D21" s="25" t="n"/>
      <c r="E21" s="25" t="n"/>
      <c r="F21" s="25" t="n"/>
      <c r="G21" s="25" t="n"/>
    </row>
    <row r="22" ht="18" customHeight="1">
      <c r="A22" s="24" t="n"/>
      <c r="B22" s="24" t="n"/>
      <c r="C22" s="24" t="n"/>
      <c r="D22" s="24" t="n"/>
      <c r="E22" s="24" t="n"/>
      <c r="F22" s="24" t="n"/>
      <c r="G22" s="24" t="n"/>
    </row>
    <row r="23" ht="18" customHeight="1">
      <c r="A23" s="25" t="n"/>
      <c r="B23" s="25" t="n"/>
      <c r="C23" s="25" t="n"/>
      <c r="D23" s="25" t="n"/>
      <c r="E23" s="25" t="n"/>
      <c r="F23" s="25" t="n"/>
      <c r="G23" s="25" t="n"/>
    </row>
    <row r="24" ht="18" customHeight="1">
      <c r="A24" s="24" t="n"/>
      <c r="B24" s="24" t="n"/>
      <c r="C24" s="24" t="n"/>
      <c r="D24" s="24" t="n"/>
      <c r="E24" s="24" t="n"/>
      <c r="F24" s="24" t="n"/>
      <c r="G24" s="24" t="n"/>
    </row>
    <row r="25" ht="18" customHeight="1">
      <c r="A25" s="25" t="n"/>
      <c r="B25" s="25" t="n"/>
      <c r="C25" s="25" t="n"/>
      <c r="D25" s="25" t="n"/>
      <c r="E25" s="25" t="n"/>
      <c r="F25" s="25" t="n"/>
      <c r="G25" s="25" t="n"/>
    </row>
    <row r="26" ht="18" customHeight="1">
      <c r="A26" s="24" t="n"/>
      <c r="B26" s="24" t="n"/>
      <c r="C26" s="24" t="n"/>
      <c r="D26" s="24" t="n"/>
      <c r="E26" s="24" t="n"/>
      <c r="F26" s="24" t="n"/>
      <c r="G26" s="24" t="n"/>
    </row>
    <row r="27" ht="18" customHeight="1">
      <c r="A27" s="25" t="n"/>
      <c r="B27" s="25" t="n"/>
      <c r="C27" s="25" t="n"/>
      <c r="D27" s="25" t="n"/>
      <c r="E27" s="25" t="n"/>
      <c r="F27" s="25" t="n"/>
      <c r="G27" s="25" t="n"/>
    </row>
    <row r="28" ht="18" customHeight="1">
      <c r="A28" s="24" t="n"/>
      <c r="B28" s="24" t="n"/>
      <c r="C28" s="24" t="n"/>
      <c r="D28" s="24" t="n"/>
      <c r="E28" s="24" t="n"/>
      <c r="F28" s="24" t="n"/>
      <c r="G28" s="24" t="n"/>
    </row>
    <row r="29" ht="18" customHeight="1">
      <c r="A29" s="25" t="n"/>
      <c r="B29" s="25" t="n"/>
      <c r="C29" s="25" t="n"/>
      <c r="D29" s="25" t="n"/>
      <c r="E29" s="25" t="n"/>
      <c r="F29" s="25" t="n"/>
      <c r="G29" s="25" t="n"/>
    </row>
    <row r="30" ht="18" customHeight="1">
      <c r="A30" s="24" t="n"/>
      <c r="B30" s="24" t="n"/>
      <c r="C30" s="24" t="n"/>
      <c r="D30" s="24" t="n"/>
      <c r="E30" s="24" t="n"/>
      <c r="F30" s="24" t="n"/>
      <c r="G30" s="24" t="n"/>
    </row>
    <row r="31" ht="18" customHeight="1">
      <c r="A31" s="25" t="n"/>
      <c r="B31" s="25" t="n"/>
      <c r="C31" s="25" t="n"/>
      <c r="D31" s="25" t="n"/>
      <c r="E31" s="25" t="n"/>
      <c r="F31" s="25" t="n"/>
      <c r="G31" s="25" t="n"/>
    </row>
    <row r="32" ht="18" customHeight="1">
      <c r="A32" s="24" t="n"/>
      <c r="B32" s="24" t="n"/>
      <c r="C32" s="24" t="n"/>
      <c r="D32" s="24" t="n"/>
      <c r="E32" s="24" t="n"/>
      <c r="F32" s="24" t="n"/>
      <c r="G32" s="24" t="n"/>
    </row>
    <row r="33" ht="18" customHeight="1">
      <c r="A33" s="25" t="n"/>
      <c r="B33" s="25" t="n"/>
      <c r="C33" s="25" t="n"/>
      <c r="D33" s="25" t="n"/>
      <c r="E33" s="25" t="n"/>
      <c r="F33" s="25" t="n"/>
      <c r="G33" s="25" t="n"/>
    </row>
    <row r="34" ht="18" customHeight="1">
      <c r="A34" s="24" t="n"/>
      <c r="B34" s="24" t="n"/>
      <c r="C34" s="24" t="n"/>
      <c r="D34" s="24" t="n"/>
      <c r="E34" s="24" t="n"/>
      <c r="F34" s="24" t="n"/>
      <c r="G34" s="24" t="n"/>
    </row>
    <row r="35" ht="18" customHeight="1">
      <c r="A35" s="25" t="n"/>
      <c r="B35" s="25" t="n"/>
      <c r="C35" s="25" t="n"/>
      <c r="D35" s="25" t="n"/>
      <c r="E35" s="25" t="n"/>
      <c r="F35" s="25" t="n"/>
      <c r="G35" s="25" t="n"/>
    </row>
    <row r="36" ht="18" customHeight="1">
      <c r="A36" s="24" t="n"/>
      <c r="B36" s="24" t="n"/>
      <c r="C36" s="24" t="n"/>
      <c r="D36" s="24" t="n"/>
      <c r="E36" s="24" t="n"/>
      <c r="F36" s="24" t="n"/>
      <c r="G36" s="24" t="n"/>
    </row>
    <row r="37" ht="18" customHeight="1">
      <c r="A37" s="25" t="n"/>
      <c r="B37" s="25" t="n"/>
      <c r="C37" s="25" t="n"/>
      <c r="D37" s="25" t="n"/>
      <c r="E37" s="25" t="n"/>
      <c r="F37" s="25" t="n"/>
      <c r="G37" s="25" t="n"/>
    </row>
    <row r="38" ht="18" customHeight="1">
      <c r="A38" s="24" t="n"/>
      <c r="B38" s="24" t="n"/>
      <c r="C38" s="24" t="n"/>
      <c r="D38" s="24" t="n"/>
      <c r="E38" s="24" t="n"/>
      <c r="F38" s="24" t="n"/>
      <c r="G38" s="24" t="n"/>
    </row>
    <row r="39" ht="18" customHeight="1">
      <c r="A39" s="25" t="n"/>
      <c r="B39" s="25" t="n"/>
      <c r="C39" s="25" t="n"/>
      <c r="D39" s="25" t="n"/>
      <c r="E39" s="25" t="n"/>
      <c r="F39" s="25" t="n"/>
      <c r="G39" s="25" t="n"/>
    </row>
    <row r="40" ht="18" customHeight="1">
      <c r="A40" s="24" t="n"/>
      <c r="B40" s="24" t="n"/>
      <c r="C40" s="24" t="n"/>
      <c r="D40" s="24" t="n"/>
      <c r="E40" s="24" t="n"/>
      <c r="F40" s="24" t="n"/>
      <c r="G40" s="24" t="n"/>
    </row>
    <row r="41" ht="18" customHeight="1">
      <c r="A41" s="25" t="n"/>
      <c r="B41" s="25" t="n"/>
      <c r="C41" s="25" t="n"/>
      <c r="D41" s="25" t="n"/>
      <c r="E41" s="25" t="n"/>
      <c r="F41" s="25" t="n"/>
      <c r="G41" s="25" t="n"/>
    </row>
    <row r="42" ht="18" customHeight="1">
      <c r="A42" s="24" t="n"/>
      <c r="B42" s="24" t="n"/>
      <c r="C42" s="24" t="n"/>
      <c r="D42" s="24" t="n"/>
      <c r="E42" s="24" t="n"/>
      <c r="F42" s="24" t="n"/>
      <c r="G42" s="24" t="n"/>
    </row>
    <row r="43" ht="18" customHeight="1">
      <c r="A43" s="25" t="n"/>
      <c r="B43" s="25" t="n"/>
      <c r="C43" s="25" t="n"/>
      <c r="D43" s="25" t="n"/>
      <c r="E43" s="25" t="n"/>
      <c r="F43" s="25" t="n"/>
      <c r="G43" s="25" t="n"/>
    </row>
    <row r="44" ht="18" customHeight="1">
      <c r="A44" s="24" t="n"/>
      <c r="B44" s="24" t="n"/>
      <c r="C44" s="24" t="n"/>
      <c r="D44" s="24" t="n"/>
      <c r="E44" s="24" t="n"/>
      <c r="F44" s="24" t="n"/>
      <c r="G44" s="24" t="n"/>
    </row>
    <row r="45" ht="22" customHeight="1">
      <c r="A45" s="16" t="inlineStr">
        <is>
          <t>TOTAL VARIABLE</t>
        </is>
      </c>
      <c r="D45" s="17">
        <f>SUM(D20:D44)</f>
        <v/>
      </c>
      <c r="E45" s="17">
        <f>SUM(E20:E44)</f>
        <v/>
      </c>
      <c r="F45" s="18" t="n"/>
      <c r="G45" s="18" t="n"/>
    </row>
    <row r="46" ht="8" customHeight="1">
      <c r="A46" s="19" t="n"/>
      <c r="B46" s="19" t="n"/>
      <c r="C46" s="19" t="n"/>
      <c r="D46" s="19" t="n"/>
      <c r="E46" s="19" t="n"/>
      <c r="F46" s="19" t="n"/>
      <c r="G46" s="19" t="n"/>
    </row>
    <row r="47" ht="26" customHeight="1">
      <c r="A47" s="26" t="inlineStr">
        <is>
          <t>💰 BALANCE</t>
        </is>
      </c>
      <c r="D47" s="27">
        <f>D9-D16-D45</f>
        <v/>
      </c>
      <c r="E47" s="27">
        <f>E9-E16-E45</f>
        <v/>
      </c>
      <c r="F47" s="28" t="n"/>
      <c r="G47" s="28" t="n"/>
    </row>
  </sheetData>
  <mergeCells count="12">
    <mergeCell ref="B13:C13"/>
    <mergeCell ref="A1:G1"/>
    <mergeCell ref="B15:C15"/>
    <mergeCell ref="A18:G18"/>
    <mergeCell ref="A45:C45"/>
    <mergeCell ref="A47:C47"/>
    <mergeCell ref="A3:G3"/>
    <mergeCell ref="A9:C9"/>
    <mergeCell ref="A2"/>
    <mergeCell ref="B14:C14"/>
    <mergeCell ref="A11:G11"/>
    <mergeCell ref="A16:C16"/>
  </mergeCells>
  <dataValidations count="3">
    <dataValidation sqref="F20:F44" showDropDown="0" showInputMessage="0" showErrorMessage="0" allowBlank="1" type="list">
      <formula1>"Food,Transport,Health,Utilities,Entertainment,Tax,Savings,Big Buy,Personal,Other"</formula1>
    </dataValidation>
    <dataValidation sqref="G20:G44" showDropDown="0" showInputMessage="0" showErrorMessage="0" allowBlank="1" type="list">
      <formula1>"Cash ARS,USD Cash,Wise,Binance,MercadoPago,Tarjeta"</formula1>
    </dataValidation>
    <dataValidation sqref="E13:E15" showDropDown="0" showInputMessage="0" showErrorMessage="0" allowBlank="1" type="list">
      <formula1>"Pagado,Pendiente,Auto"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2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 ht="30" customHeight="1">
      <c r="A1" s="1" t="inlineStr">
        <is>
          <t>💸 JUN 2024 — GASTOS MENSUALES</t>
        </is>
      </c>
    </row>
    <row r="2" ht="22" customHeight="1">
      <c r="A2" s="2" t="inlineStr">
        <is>
          <t>USD/ARS</t>
        </is>
      </c>
      <c r="B2" s="3" t="n">
        <v>1</v>
      </c>
      <c r="C2" s="4" t="inlineStr">
        <is>
          <t>← update monthly</t>
        </is>
      </c>
      <c r="D2" s="5" t="n"/>
      <c r="E2" s="5" t="n"/>
      <c r="F2" s="5" t="n"/>
      <c r="G2" s="5" t="n"/>
    </row>
    <row r="3" ht="24" customHeight="1">
      <c r="A3" s="6" t="inlineStr">
        <is>
          <t>▲ INGRESOS</t>
        </is>
      </c>
    </row>
    <row r="4" ht="20" customHeight="1">
      <c r="A4" s="7" t="inlineStr">
        <is>
          <t>#</t>
        </is>
      </c>
      <c r="B4" s="7" t="inlineStr">
        <is>
          <t>Source</t>
        </is>
      </c>
      <c r="C4" s="7" t="inlineStr">
        <is>
          <t>Description</t>
        </is>
      </c>
      <c r="D4" s="7" t="inlineStr">
        <is>
          <t>ARS</t>
        </is>
      </c>
      <c r="E4" s="7" t="inlineStr">
        <is>
          <t>USD</t>
        </is>
      </c>
    </row>
    <row r="5" ht="22" customHeight="1">
      <c r="A5" s="16" t="inlineStr">
        <is>
          <t>TOTAL INGRESOS</t>
        </is>
      </c>
      <c r="D5" s="17">
        <f>SUM(D5:D4)</f>
        <v/>
      </c>
      <c r="E5" s="17">
        <f>SUM(E5:E4)</f>
        <v/>
      </c>
      <c r="F5" s="18" t="n"/>
      <c r="G5" s="18" t="n"/>
    </row>
    <row r="6" ht="8" customHeight="1">
      <c r="A6" s="19" t="n"/>
      <c r="B6" s="19" t="n"/>
      <c r="C6" s="19" t="n"/>
      <c r="D6" s="19" t="n"/>
      <c r="E6" s="19" t="n"/>
      <c r="F6" s="19" t="n"/>
      <c r="G6" s="19" t="n"/>
    </row>
    <row r="7" ht="24" customHeight="1">
      <c r="A7" s="20" t="inlineStr">
        <is>
          <t>▼ EGRESOS FIJOS</t>
        </is>
      </c>
    </row>
    <row r="8" ht="20" customHeight="1">
      <c r="A8" s="21" t="inlineStr">
        <is>
          <t>#</t>
        </is>
      </c>
      <c r="B8" s="21" t="inlineStr">
        <is>
          <t>Description</t>
        </is>
      </c>
      <c r="C8" s="21" t="inlineStr">
        <is>
          <t>ARS</t>
        </is>
      </c>
      <c r="D8" s="21" t="inlineStr">
        <is>
          <t>USD</t>
        </is>
      </c>
      <c r="E8" s="21" t="inlineStr">
        <is>
          <t>Status</t>
        </is>
      </c>
      <c r="F8" s="21" t="inlineStr"/>
      <c r="G8" s="21" t="inlineStr"/>
    </row>
    <row r="9" ht="22" customHeight="1">
      <c r="A9" s="16" t="inlineStr">
        <is>
          <t>TOTAL FIJOS</t>
        </is>
      </c>
      <c r="D9" s="17">
        <f>SUM(D9:D8)</f>
        <v/>
      </c>
      <c r="E9" s="17">
        <f>SUM(E9:E8)</f>
        <v/>
      </c>
      <c r="F9" s="18" t="n"/>
      <c r="G9" s="18" t="n"/>
    </row>
    <row r="10" ht="8" customHeight="1">
      <c r="A10" s="19" t="n"/>
      <c r="B10" s="19" t="n"/>
      <c r="C10" s="19" t="n"/>
      <c r="D10" s="19" t="n"/>
      <c r="E10" s="19" t="n"/>
      <c r="F10" s="19" t="n"/>
      <c r="G10" s="19" t="n"/>
    </row>
    <row r="11" ht="24" customHeight="1">
      <c r="A11" s="22" t="inlineStr">
        <is>
          <t>📋 GASTOS DEL MES</t>
        </is>
      </c>
    </row>
    <row r="12" ht="20" customHeight="1">
      <c r="A12" s="23" t="inlineStr">
        <is>
          <t>#</t>
        </is>
      </c>
      <c r="B12" s="23" t="inlineStr">
        <is>
          <t>Date</t>
        </is>
      </c>
      <c r="C12" s="23" t="inlineStr">
        <is>
          <t>Description</t>
        </is>
      </c>
      <c r="D12" s="23" t="inlineStr">
        <is>
          <t>ARS</t>
        </is>
      </c>
      <c r="E12" s="23" t="inlineStr">
        <is>
          <t>USD</t>
        </is>
      </c>
      <c r="F12" s="23" t="inlineStr">
        <is>
          <t>Category</t>
        </is>
      </c>
      <c r="G12" s="23" t="inlineStr">
        <is>
          <t>Payment</t>
        </is>
      </c>
    </row>
    <row r="13" ht="18" customHeight="1">
      <c r="A13" s="8" t="n">
        <v>1</v>
      </c>
      <c r="B13" s="8" t="inlineStr">
        <is>
          <t>02</t>
        </is>
      </c>
      <c r="C13" s="9" t="inlineStr">
        <is>
          <t>Cash USD</t>
        </is>
      </c>
      <c r="D13" s="10" t="n"/>
      <c r="E13" s="10" t="n">
        <v>200</v>
      </c>
      <c r="F13" s="9" t="inlineStr"/>
      <c r="G13" s="9" t="inlineStr"/>
    </row>
    <row r="14" ht="18" customHeight="1">
      <c r="A14" s="12" t="n">
        <v>2</v>
      </c>
      <c r="B14" s="12" t="inlineStr">
        <is>
          <t>03</t>
        </is>
      </c>
      <c r="C14" s="13" t="inlineStr">
        <is>
          <t>Payo USD</t>
        </is>
      </c>
      <c r="D14" s="14" t="n"/>
      <c r="E14" s="14" t="n">
        <v>380</v>
      </c>
      <c r="F14" s="13" t="inlineStr"/>
      <c r="G14" s="13" t="inlineStr"/>
    </row>
    <row r="15" ht="18" customHeight="1">
      <c r="A15" s="8" t="n">
        <v>3</v>
      </c>
      <c r="B15" s="8" t="inlineStr">
        <is>
          <t>04</t>
        </is>
      </c>
      <c r="C15" s="9" t="inlineStr">
        <is>
          <t>Revolut</t>
        </is>
      </c>
      <c r="D15" s="10" t="n"/>
      <c r="E15" s="10" t="n">
        <v>108</v>
      </c>
      <c r="F15" s="9" t="inlineStr"/>
      <c r="G15" s="9" t="inlineStr"/>
    </row>
    <row r="16" ht="18" customHeight="1">
      <c r="A16" s="12" t="n">
        <v>4</v>
      </c>
      <c r="B16" s="12" t="inlineStr">
        <is>
          <t>10</t>
        </is>
      </c>
      <c r="C16" s="13" t="inlineStr">
        <is>
          <t>Comida</t>
        </is>
      </c>
      <c r="D16" s="14" t="n"/>
      <c r="E16" s="14" t="n">
        <v>35</v>
      </c>
      <c r="F16" s="13" t="inlineStr"/>
      <c r="G16" s="13" t="inlineStr"/>
    </row>
    <row r="17" ht="18" customHeight="1">
      <c r="A17" s="8" t="n">
        <v>5</v>
      </c>
      <c r="B17" s="8" t="inlineStr">
        <is>
          <t>15</t>
        </is>
      </c>
      <c r="C17" s="9" t="inlineStr">
        <is>
          <t>Transport</t>
        </is>
      </c>
      <c r="D17" s="10" t="n"/>
      <c r="E17" s="10" t="n">
        <v>25</v>
      </c>
      <c r="F17" s="9" t="inlineStr"/>
      <c r="G17" s="9" t="inlineStr"/>
    </row>
    <row r="18" ht="18" customHeight="1">
      <c r="A18" s="25" t="n"/>
      <c r="B18" s="25" t="n"/>
      <c r="C18" s="25" t="n"/>
      <c r="D18" s="25" t="n"/>
      <c r="E18" s="25" t="n"/>
      <c r="F18" s="25" t="n"/>
      <c r="G18" s="25" t="n"/>
    </row>
    <row r="19" ht="18" customHeight="1">
      <c r="A19" s="24" t="n"/>
      <c r="B19" s="24" t="n"/>
      <c r="C19" s="24" t="n"/>
      <c r="D19" s="24" t="n"/>
      <c r="E19" s="24" t="n"/>
      <c r="F19" s="24" t="n"/>
      <c r="G19" s="24" t="n"/>
    </row>
    <row r="20" ht="18" customHeight="1">
      <c r="A20" s="25" t="n"/>
      <c r="B20" s="25" t="n"/>
      <c r="C20" s="25" t="n"/>
      <c r="D20" s="25" t="n"/>
      <c r="E20" s="25" t="n"/>
      <c r="F20" s="25" t="n"/>
      <c r="G20" s="25" t="n"/>
    </row>
    <row r="21" ht="18" customHeight="1">
      <c r="A21" s="24" t="n"/>
      <c r="B21" s="24" t="n"/>
      <c r="C21" s="24" t="n"/>
      <c r="D21" s="24" t="n"/>
      <c r="E21" s="24" t="n"/>
      <c r="F21" s="24" t="n"/>
      <c r="G21" s="24" t="n"/>
    </row>
    <row r="22" ht="18" customHeight="1">
      <c r="A22" s="25" t="n"/>
      <c r="B22" s="25" t="n"/>
      <c r="C22" s="25" t="n"/>
      <c r="D22" s="25" t="n"/>
      <c r="E22" s="25" t="n"/>
      <c r="F22" s="25" t="n"/>
      <c r="G22" s="25" t="n"/>
    </row>
    <row r="23" ht="18" customHeight="1">
      <c r="A23" s="24" t="n"/>
      <c r="B23" s="24" t="n"/>
      <c r="C23" s="24" t="n"/>
      <c r="D23" s="24" t="n"/>
      <c r="E23" s="24" t="n"/>
      <c r="F23" s="24" t="n"/>
      <c r="G23" s="24" t="n"/>
    </row>
    <row r="24" ht="18" customHeight="1">
      <c r="A24" s="25" t="n"/>
      <c r="B24" s="25" t="n"/>
      <c r="C24" s="25" t="n"/>
      <c r="D24" s="25" t="n"/>
      <c r="E24" s="25" t="n"/>
      <c r="F24" s="25" t="n"/>
      <c r="G24" s="25" t="n"/>
    </row>
    <row r="25" ht="18" customHeight="1">
      <c r="A25" s="24" t="n"/>
      <c r="B25" s="24" t="n"/>
      <c r="C25" s="24" t="n"/>
      <c r="D25" s="24" t="n"/>
      <c r="E25" s="24" t="n"/>
      <c r="F25" s="24" t="n"/>
      <c r="G25" s="24" t="n"/>
    </row>
    <row r="26" ht="18" customHeight="1">
      <c r="A26" s="25" t="n"/>
      <c r="B26" s="25" t="n"/>
      <c r="C26" s="25" t="n"/>
      <c r="D26" s="25" t="n"/>
      <c r="E26" s="25" t="n"/>
      <c r="F26" s="25" t="n"/>
      <c r="G26" s="25" t="n"/>
    </row>
    <row r="27" ht="18" customHeight="1">
      <c r="A27" s="24" t="n"/>
      <c r="B27" s="24" t="n"/>
      <c r="C27" s="24" t="n"/>
      <c r="D27" s="24" t="n"/>
      <c r="E27" s="24" t="n"/>
      <c r="F27" s="24" t="n"/>
      <c r="G27" s="24" t="n"/>
    </row>
    <row r="28" ht="18" customHeight="1">
      <c r="A28" s="25" t="n"/>
      <c r="B28" s="25" t="n"/>
      <c r="C28" s="25" t="n"/>
      <c r="D28" s="25" t="n"/>
      <c r="E28" s="25" t="n"/>
      <c r="F28" s="25" t="n"/>
      <c r="G28" s="25" t="n"/>
    </row>
    <row r="29" ht="18" customHeight="1">
      <c r="A29" s="24" t="n"/>
      <c r="B29" s="24" t="n"/>
      <c r="C29" s="24" t="n"/>
      <c r="D29" s="24" t="n"/>
      <c r="E29" s="24" t="n"/>
      <c r="F29" s="24" t="n"/>
      <c r="G29" s="24" t="n"/>
    </row>
    <row r="30" ht="18" customHeight="1">
      <c r="A30" s="25" t="n"/>
      <c r="B30" s="25" t="n"/>
      <c r="C30" s="25" t="n"/>
      <c r="D30" s="25" t="n"/>
      <c r="E30" s="25" t="n"/>
      <c r="F30" s="25" t="n"/>
      <c r="G30" s="25" t="n"/>
    </row>
    <row r="31" ht="18" customHeight="1">
      <c r="A31" s="24" t="n"/>
      <c r="B31" s="24" t="n"/>
      <c r="C31" s="24" t="n"/>
      <c r="D31" s="24" t="n"/>
      <c r="E31" s="24" t="n"/>
      <c r="F31" s="24" t="n"/>
      <c r="G31" s="24" t="n"/>
    </row>
    <row r="32" ht="18" customHeight="1">
      <c r="A32" s="25" t="n"/>
      <c r="B32" s="25" t="n"/>
      <c r="C32" s="25" t="n"/>
      <c r="D32" s="25" t="n"/>
      <c r="E32" s="25" t="n"/>
      <c r="F32" s="25" t="n"/>
      <c r="G32" s="25" t="n"/>
    </row>
    <row r="33" ht="18" customHeight="1">
      <c r="A33" s="24" t="n"/>
      <c r="B33" s="24" t="n"/>
      <c r="C33" s="24" t="n"/>
      <c r="D33" s="24" t="n"/>
      <c r="E33" s="24" t="n"/>
      <c r="F33" s="24" t="n"/>
      <c r="G33" s="24" t="n"/>
    </row>
    <row r="34" ht="18" customHeight="1">
      <c r="A34" s="25" t="n"/>
      <c r="B34" s="25" t="n"/>
      <c r="C34" s="25" t="n"/>
      <c r="D34" s="25" t="n"/>
      <c r="E34" s="25" t="n"/>
      <c r="F34" s="25" t="n"/>
      <c r="G34" s="25" t="n"/>
    </row>
    <row r="35" ht="18" customHeight="1">
      <c r="A35" s="24" t="n"/>
      <c r="B35" s="24" t="n"/>
      <c r="C35" s="24" t="n"/>
      <c r="D35" s="24" t="n"/>
      <c r="E35" s="24" t="n"/>
      <c r="F35" s="24" t="n"/>
      <c r="G35" s="24" t="n"/>
    </row>
    <row r="36" ht="18" customHeight="1">
      <c r="A36" s="25" t="n"/>
      <c r="B36" s="25" t="n"/>
      <c r="C36" s="25" t="n"/>
      <c r="D36" s="25" t="n"/>
      <c r="E36" s="25" t="n"/>
      <c r="F36" s="25" t="n"/>
      <c r="G36" s="25" t="n"/>
    </row>
    <row r="37" ht="18" customHeight="1">
      <c r="A37" s="24" t="n"/>
      <c r="B37" s="24" t="n"/>
      <c r="C37" s="24" t="n"/>
      <c r="D37" s="24" t="n"/>
      <c r="E37" s="24" t="n"/>
      <c r="F37" s="24" t="n"/>
      <c r="G37" s="24" t="n"/>
    </row>
    <row r="38" ht="22" customHeight="1">
      <c r="A38" s="16" t="inlineStr">
        <is>
          <t>TOTAL VARIABLE</t>
        </is>
      </c>
      <c r="D38" s="17">
        <f>SUM(D13:D37)</f>
        <v/>
      </c>
      <c r="E38" s="17">
        <f>SUM(E13:E37)</f>
        <v/>
      </c>
      <c r="F38" s="18" t="n"/>
      <c r="G38" s="18" t="n"/>
    </row>
    <row r="39" ht="8" customHeight="1">
      <c r="A39" s="19" t="n"/>
      <c r="B39" s="19" t="n"/>
      <c r="C39" s="19" t="n"/>
      <c r="D39" s="19" t="n"/>
      <c r="E39" s="19" t="n"/>
      <c r="F39" s="19" t="n"/>
      <c r="G39" s="19" t="n"/>
    </row>
    <row r="40" ht="26" customHeight="1">
      <c r="A40" s="26" t="inlineStr">
        <is>
          <t>💰 BALANCE</t>
        </is>
      </c>
      <c r="D40" s="27">
        <f>D5-D9-D38</f>
        <v/>
      </c>
      <c r="E40" s="27">
        <f>E5-E9-E38</f>
        <v/>
      </c>
      <c r="F40" s="28" t="n"/>
      <c r="G40" s="28" t="n"/>
    </row>
  </sheetData>
  <mergeCells count="9">
    <mergeCell ref="A1:G1"/>
    <mergeCell ref="A5:C5"/>
    <mergeCell ref="A3:G3"/>
    <mergeCell ref="A40:C40"/>
    <mergeCell ref="A9:C9"/>
    <mergeCell ref="A2"/>
    <mergeCell ref="A7:G7"/>
    <mergeCell ref="A11:G11"/>
    <mergeCell ref="A38:C38"/>
  </mergeCells>
  <dataValidations count="2">
    <dataValidation sqref="F13:F37" showDropDown="0" showInputMessage="0" showErrorMessage="0" allowBlank="1" type="list">
      <formula1>"Food,Transport,Health,Utilities,Entertainment,Tax,Savings,Big Buy,Personal,Other"</formula1>
    </dataValidation>
    <dataValidation sqref="G13:G37" showDropDown="0" showInputMessage="0" showErrorMessage="0" allowBlank="1" type="list">
      <formula1>"Cash ARS,USD Cash,Wise,Binance,MercadoPago,Tarjeta"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2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 ht="30" customHeight="1">
      <c r="A1" s="1" t="inlineStr">
        <is>
          <t>💸 JUL 2024 — GASTOS MENSUALES</t>
        </is>
      </c>
    </row>
    <row r="2" ht="22" customHeight="1">
      <c r="A2" s="2" t="inlineStr">
        <is>
          <t>USD/ARS</t>
        </is>
      </c>
      <c r="B2" s="3" t="n">
        <v>1</v>
      </c>
      <c r="C2" s="4" t="inlineStr">
        <is>
          <t>← update monthly</t>
        </is>
      </c>
      <c r="D2" s="5" t="n"/>
      <c r="E2" s="5" t="n"/>
      <c r="F2" s="5" t="n"/>
      <c r="G2" s="5" t="n"/>
    </row>
    <row r="3" ht="24" customHeight="1">
      <c r="A3" s="6" t="inlineStr">
        <is>
          <t>▲ INGRESOS</t>
        </is>
      </c>
    </row>
    <row r="4" ht="20" customHeight="1">
      <c r="A4" s="7" t="inlineStr">
        <is>
          <t>#</t>
        </is>
      </c>
      <c r="B4" s="7" t="inlineStr">
        <is>
          <t>Source</t>
        </is>
      </c>
      <c r="C4" s="7" t="inlineStr">
        <is>
          <t>Description</t>
        </is>
      </c>
      <c r="D4" s="7" t="inlineStr">
        <is>
          <t>ARS</t>
        </is>
      </c>
      <c r="E4" s="7" t="inlineStr">
        <is>
          <t>USD</t>
        </is>
      </c>
    </row>
    <row r="5" ht="22" customHeight="1">
      <c r="A5" s="16" t="inlineStr">
        <is>
          <t>TOTAL INGRESOS</t>
        </is>
      </c>
      <c r="D5" s="17">
        <f>SUM(D5:D4)</f>
        <v/>
      </c>
      <c r="E5" s="17">
        <f>SUM(E5:E4)</f>
        <v/>
      </c>
      <c r="F5" s="18" t="n"/>
      <c r="G5" s="18" t="n"/>
    </row>
    <row r="6" ht="8" customHeight="1">
      <c r="A6" s="19" t="n"/>
      <c r="B6" s="19" t="n"/>
      <c r="C6" s="19" t="n"/>
      <c r="D6" s="19" t="n"/>
      <c r="E6" s="19" t="n"/>
      <c r="F6" s="19" t="n"/>
      <c r="G6" s="19" t="n"/>
    </row>
    <row r="7" ht="24" customHeight="1">
      <c r="A7" s="20" t="inlineStr">
        <is>
          <t>▼ EGRESOS FIJOS</t>
        </is>
      </c>
    </row>
    <row r="8" ht="20" customHeight="1">
      <c r="A8" s="21" t="inlineStr">
        <is>
          <t>#</t>
        </is>
      </c>
      <c r="B8" s="21" t="inlineStr">
        <is>
          <t>Description</t>
        </is>
      </c>
      <c r="C8" s="21" t="inlineStr">
        <is>
          <t>ARS</t>
        </is>
      </c>
      <c r="D8" s="21" t="inlineStr">
        <is>
          <t>USD</t>
        </is>
      </c>
      <c r="E8" s="21" t="inlineStr">
        <is>
          <t>Status</t>
        </is>
      </c>
      <c r="F8" s="21" t="inlineStr"/>
      <c r="G8" s="21" t="inlineStr"/>
    </row>
    <row r="9" ht="22" customHeight="1">
      <c r="A9" s="16" t="inlineStr">
        <is>
          <t>TOTAL FIJOS</t>
        </is>
      </c>
      <c r="D9" s="17">
        <f>SUM(D9:D8)</f>
        <v/>
      </c>
      <c r="E9" s="17">
        <f>SUM(E9:E8)</f>
        <v/>
      </c>
      <c r="F9" s="18" t="n"/>
      <c r="G9" s="18" t="n"/>
    </row>
    <row r="10" ht="8" customHeight="1">
      <c r="A10" s="19" t="n"/>
      <c r="B10" s="19" t="n"/>
      <c r="C10" s="19" t="n"/>
      <c r="D10" s="19" t="n"/>
      <c r="E10" s="19" t="n"/>
      <c r="F10" s="19" t="n"/>
      <c r="G10" s="19" t="n"/>
    </row>
    <row r="11" ht="24" customHeight="1">
      <c r="A11" s="22" t="inlineStr">
        <is>
          <t>📋 GASTOS DEL MES</t>
        </is>
      </c>
    </row>
    <row r="12" ht="20" customHeight="1">
      <c r="A12" s="23" t="inlineStr">
        <is>
          <t>#</t>
        </is>
      </c>
      <c r="B12" s="23" t="inlineStr">
        <is>
          <t>Date</t>
        </is>
      </c>
      <c r="C12" s="23" t="inlineStr">
        <is>
          <t>Description</t>
        </is>
      </c>
      <c r="D12" s="23" t="inlineStr">
        <is>
          <t>ARS</t>
        </is>
      </c>
      <c r="E12" s="23" t="inlineStr">
        <is>
          <t>USD</t>
        </is>
      </c>
      <c r="F12" s="23" t="inlineStr">
        <is>
          <t>Category</t>
        </is>
      </c>
      <c r="G12" s="23" t="inlineStr">
        <is>
          <t>Payment</t>
        </is>
      </c>
    </row>
    <row r="13" ht="18" customHeight="1">
      <c r="A13" s="8" t="n">
        <v>1</v>
      </c>
      <c r="B13" s="8" t="inlineStr">
        <is>
          <t>08</t>
        </is>
      </c>
      <c r="C13" s="9" t="inlineStr">
        <is>
          <t>Burrito</t>
        </is>
      </c>
      <c r="D13" s="10" t="n"/>
      <c r="E13" s="10" t="n">
        <v>10</v>
      </c>
      <c r="F13" s="9" t="inlineStr"/>
      <c r="G13" s="9" t="inlineStr"/>
    </row>
    <row r="14" ht="18" customHeight="1">
      <c r="A14" s="12" t="n">
        <v>2</v>
      </c>
      <c r="B14" s="12" t="inlineStr">
        <is>
          <t>09</t>
        </is>
      </c>
      <c r="C14" s="13" t="inlineStr">
        <is>
          <t>Pizza</t>
        </is>
      </c>
      <c r="D14" s="14" t="n"/>
      <c r="E14" s="14" t="n">
        <v>8</v>
      </c>
      <c r="F14" s="13" t="inlineStr"/>
      <c r="G14" s="13" t="inlineStr"/>
    </row>
    <row r="15" ht="18" customHeight="1">
      <c r="A15" s="8" t="n">
        <v>3</v>
      </c>
      <c r="B15" s="8" t="inlineStr">
        <is>
          <t>10</t>
        </is>
      </c>
      <c r="C15" s="9" t="inlineStr">
        <is>
          <t>Kebab</t>
        </is>
      </c>
      <c r="D15" s="10" t="n"/>
      <c r="E15" s="10" t="n">
        <v>12</v>
      </c>
      <c r="F15" s="9" t="inlineStr"/>
      <c r="G15" s="9" t="inlineStr"/>
    </row>
    <row r="16" ht="18" customHeight="1">
      <c r="A16" s="12" t="n">
        <v>4</v>
      </c>
      <c r="B16" s="12" t="inlineStr">
        <is>
          <t>15</t>
        </is>
      </c>
      <c r="C16" s="13" t="inlineStr">
        <is>
          <t>Supermercado</t>
        </is>
      </c>
      <c r="D16" s="14" t="n"/>
      <c r="E16" s="14" t="n">
        <v>45</v>
      </c>
      <c r="F16" s="13" t="inlineStr"/>
      <c r="G16" s="13" t="inlineStr"/>
    </row>
    <row r="17" ht="18" customHeight="1">
      <c r="A17" s="8" t="n">
        <v>5</v>
      </c>
      <c r="B17" s="8" t="inlineStr">
        <is>
          <t>20</t>
        </is>
      </c>
      <c r="C17" s="9" t="inlineStr">
        <is>
          <t>Transporte</t>
        </is>
      </c>
      <c r="D17" s="10" t="n"/>
      <c r="E17" s="10" t="n">
        <v>18</v>
      </c>
      <c r="F17" s="9" t="inlineStr"/>
      <c r="G17" s="9" t="inlineStr"/>
    </row>
    <row r="18" ht="18" customHeight="1">
      <c r="A18" s="25" t="n"/>
      <c r="B18" s="25" t="n"/>
      <c r="C18" s="25" t="n"/>
      <c r="D18" s="25" t="n"/>
      <c r="E18" s="25" t="n"/>
      <c r="F18" s="25" t="n"/>
      <c r="G18" s="25" t="n"/>
    </row>
    <row r="19" ht="18" customHeight="1">
      <c r="A19" s="24" t="n"/>
      <c r="B19" s="24" t="n"/>
      <c r="C19" s="24" t="n"/>
      <c r="D19" s="24" t="n"/>
      <c r="E19" s="24" t="n"/>
      <c r="F19" s="24" t="n"/>
      <c r="G19" s="24" t="n"/>
    </row>
    <row r="20" ht="18" customHeight="1">
      <c r="A20" s="25" t="n"/>
      <c r="B20" s="25" t="n"/>
      <c r="C20" s="25" t="n"/>
      <c r="D20" s="25" t="n"/>
      <c r="E20" s="25" t="n"/>
      <c r="F20" s="25" t="n"/>
      <c r="G20" s="25" t="n"/>
    </row>
    <row r="21" ht="18" customHeight="1">
      <c r="A21" s="24" t="n"/>
      <c r="B21" s="24" t="n"/>
      <c r="C21" s="24" t="n"/>
      <c r="D21" s="24" t="n"/>
      <c r="E21" s="24" t="n"/>
      <c r="F21" s="24" t="n"/>
      <c r="G21" s="24" t="n"/>
    </row>
    <row r="22" ht="18" customHeight="1">
      <c r="A22" s="25" t="n"/>
      <c r="B22" s="25" t="n"/>
      <c r="C22" s="25" t="n"/>
      <c r="D22" s="25" t="n"/>
      <c r="E22" s="25" t="n"/>
      <c r="F22" s="25" t="n"/>
      <c r="G22" s="25" t="n"/>
    </row>
    <row r="23" ht="18" customHeight="1">
      <c r="A23" s="24" t="n"/>
      <c r="B23" s="24" t="n"/>
      <c r="C23" s="24" t="n"/>
      <c r="D23" s="24" t="n"/>
      <c r="E23" s="24" t="n"/>
      <c r="F23" s="24" t="n"/>
      <c r="G23" s="24" t="n"/>
    </row>
    <row r="24" ht="18" customHeight="1">
      <c r="A24" s="25" t="n"/>
      <c r="B24" s="25" t="n"/>
      <c r="C24" s="25" t="n"/>
      <c r="D24" s="25" t="n"/>
      <c r="E24" s="25" t="n"/>
      <c r="F24" s="25" t="n"/>
      <c r="G24" s="25" t="n"/>
    </row>
    <row r="25" ht="18" customHeight="1">
      <c r="A25" s="24" t="n"/>
      <c r="B25" s="24" t="n"/>
      <c r="C25" s="24" t="n"/>
      <c r="D25" s="24" t="n"/>
      <c r="E25" s="24" t="n"/>
      <c r="F25" s="24" t="n"/>
      <c r="G25" s="24" t="n"/>
    </row>
    <row r="26" ht="18" customHeight="1">
      <c r="A26" s="25" t="n"/>
      <c r="B26" s="25" t="n"/>
      <c r="C26" s="25" t="n"/>
      <c r="D26" s="25" t="n"/>
      <c r="E26" s="25" t="n"/>
      <c r="F26" s="25" t="n"/>
      <c r="G26" s="25" t="n"/>
    </row>
    <row r="27" ht="18" customHeight="1">
      <c r="A27" s="24" t="n"/>
      <c r="B27" s="24" t="n"/>
      <c r="C27" s="24" t="n"/>
      <c r="D27" s="24" t="n"/>
      <c r="E27" s="24" t="n"/>
      <c r="F27" s="24" t="n"/>
      <c r="G27" s="24" t="n"/>
    </row>
    <row r="28" ht="18" customHeight="1">
      <c r="A28" s="25" t="n"/>
      <c r="B28" s="25" t="n"/>
      <c r="C28" s="25" t="n"/>
      <c r="D28" s="25" t="n"/>
      <c r="E28" s="25" t="n"/>
      <c r="F28" s="25" t="n"/>
      <c r="G28" s="25" t="n"/>
    </row>
    <row r="29" ht="18" customHeight="1">
      <c r="A29" s="24" t="n"/>
      <c r="B29" s="24" t="n"/>
      <c r="C29" s="24" t="n"/>
      <c r="D29" s="24" t="n"/>
      <c r="E29" s="24" t="n"/>
      <c r="F29" s="24" t="n"/>
      <c r="G29" s="24" t="n"/>
    </row>
    <row r="30" ht="18" customHeight="1">
      <c r="A30" s="25" t="n"/>
      <c r="B30" s="25" t="n"/>
      <c r="C30" s="25" t="n"/>
      <c r="D30" s="25" t="n"/>
      <c r="E30" s="25" t="n"/>
      <c r="F30" s="25" t="n"/>
      <c r="G30" s="25" t="n"/>
    </row>
    <row r="31" ht="18" customHeight="1">
      <c r="A31" s="24" t="n"/>
      <c r="B31" s="24" t="n"/>
      <c r="C31" s="24" t="n"/>
      <c r="D31" s="24" t="n"/>
      <c r="E31" s="24" t="n"/>
      <c r="F31" s="24" t="n"/>
      <c r="G31" s="24" t="n"/>
    </row>
    <row r="32" ht="18" customHeight="1">
      <c r="A32" s="25" t="n"/>
      <c r="B32" s="25" t="n"/>
      <c r="C32" s="25" t="n"/>
      <c r="D32" s="25" t="n"/>
      <c r="E32" s="25" t="n"/>
      <c r="F32" s="25" t="n"/>
      <c r="G32" s="25" t="n"/>
    </row>
    <row r="33" ht="18" customHeight="1">
      <c r="A33" s="24" t="n"/>
      <c r="B33" s="24" t="n"/>
      <c r="C33" s="24" t="n"/>
      <c r="D33" s="24" t="n"/>
      <c r="E33" s="24" t="n"/>
      <c r="F33" s="24" t="n"/>
      <c r="G33" s="24" t="n"/>
    </row>
    <row r="34" ht="18" customHeight="1">
      <c r="A34" s="25" t="n"/>
      <c r="B34" s="25" t="n"/>
      <c r="C34" s="25" t="n"/>
      <c r="D34" s="25" t="n"/>
      <c r="E34" s="25" t="n"/>
      <c r="F34" s="25" t="n"/>
      <c r="G34" s="25" t="n"/>
    </row>
    <row r="35" ht="18" customHeight="1">
      <c r="A35" s="24" t="n"/>
      <c r="B35" s="24" t="n"/>
      <c r="C35" s="24" t="n"/>
      <c r="D35" s="24" t="n"/>
      <c r="E35" s="24" t="n"/>
      <c r="F35" s="24" t="n"/>
      <c r="G35" s="24" t="n"/>
    </row>
    <row r="36" ht="18" customHeight="1">
      <c r="A36" s="25" t="n"/>
      <c r="B36" s="25" t="n"/>
      <c r="C36" s="25" t="n"/>
      <c r="D36" s="25" t="n"/>
      <c r="E36" s="25" t="n"/>
      <c r="F36" s="25" t="n"/>
      <c r="G36" s="25" t="n"/>
    </row>
    <row r="37" ht="18" customHeight="1">
      <c r="A37" s="24" t="n"/>
      <c r="B37" s="24" t="n"/>
      <c r="C37" s="24" t="n"/>
      <c r="D37" s="24" t="n"/>
      <c r="E37" s="24" t="n"/>
      <c r="F37" s="24" t="n"/>
      <c r="G37" s="24" t="n"/>
    </row>
    <row r="38" ht="22" customHeight="1">
      <c r="A38" s="16" t="inlineStr">
        <is>
          <t>TOTAL VARIABLE</t>
        </is>
      </c>
      <c r="D38" s="17">
        <f>SUM(D13:D37)</f>
        <v/>
      </c>
      <c r="E38" s="17">
        <f>SUM(E13:E37)</f>
        <v/>
      </c>
      <c r="F38" s="18" t="n"/>
      <c r="G38" s="18" t="n"/>
    </row>
    <row r="39" ht="8" customHeight="1">
      <c r="A39" s="19" t="n"/>
      <c r="B39" s="19" t="n"/>
      <c r="C39" s="19" t="n"/>
      <c r="D39" s="19" t="n"/>
      <c r="E39" s="19" t="n"/>
      <c r="F39" s="19" t="n"/>
      <c r="G39" s="19" t="n"/>
    </row>
    <row r="40" ht="26" customHeight="1">
      <c r="A40" s="26" t="inlineStr">
        <is>
          <t>💰 BALANCE</t>
        </is>
      </c>
      <c r="D40" s="27">
        <f>D5-D9-D38</f>
        <v/>
      </c>
      <c r="E40" s="27">
        <f>E5-E9-E38</f>
        <v/>
      </c>
      <c r="F40" s="28" t="n"/>
      <c r="G40" s="28" t="n"/>
    </row>
  </sheetData>
  <mergeCells count="9">
    <mergeCell ref="A1:G1"/>
    <mergeCell ref="A5:C5"/>
    <mergeCell ref="A3:G3"/>
    <mergeCell ref="A40:C40"/>
    <mergeCell ref="A9:C9"/>
    <mergeCell ref="A2"/>
    <mergeCell ref="A7:G7"/>
    <mergeCell ref="A11:G11"/>
    <mergeCell ref="A38:C38"/>
  </mergeCells>
  <dataValidations count="2">
    <dataValidation sqref="F13:F37" showDropDown="0" showInputMessage="0" showErrorMessage="0" allowBlank="1" type="list">
      <formula1>"Food,Transport,Health,Utilities,Entertainment,Tax,Savings,Big Buy,Personal,Other"</formula1>
    </dataValidation>
    <dataValidation sqref="G13:G37" showDropDown="0" showInputMessage="0" showErrorMessage="0" allowBlank="1" type="list">
      <formula1>"Cash ARS,USD Cash,Wise,Binance,MercadoPago,Tarjeta"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2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 ht="30" customHeight="1">
      <c r="A1" s="1" t="inlineStr">
        <is>
          <t>💸 AUG 2024 — GASTOS MENSUALES</t>
        </is>
      </c>
    </row>
    <row r="2" ht="22" customHeight="1">
      <c r="A2" s="2" t="inlineStr">
        <is>
          <t>USD/ARS</t>
        </is>
      </c>
      <c r="B2" s="3" t="n">
        <v>1</v>
      </c>
      <c r="C2" s="4" t="inlineStr">
        <is>
          <t>← update monthly</t>
        </is>
      </c>
      <c r="D2" s="5" t="n"/>
      <c r="E2" s="5" t="n"/>
      <c r="F2" s="5" t="n"/>
      <c r="G2" s="5" t="n"/>
    </row>
    <row r="3" ht="24" customHeight="1">
      <c r="A3" s="6" t="inlineStr">
        <is>
          <t>▲ INGRESOS</t>
        </is>
      </c>
    </row>
    <row r="4" ht="20" customHeight="1">
      <c r="A4" s="7" t="inlineStr">
        <is>
          <t>#</t>
        </is>
      </c>
      <c r="B4" s="7" t="inlineStr">
        <is>
          <t>Source</t>
        </is>
      </c>
      <c r="C4" s="7" t="inlineStr">
        <is>
          <t>Description</t>
        </is>
      </c>
      <c r="D4" s="7" t="inlineStr">
        <is>
          <t>ARS</t>
        </is>
      </c>
      <c r="E4" s="7" t="inlineStr">
        <is>
          <t>USD</t>
        </is>
      </c>
    </row>
    <row r="5" ht="22" customHeight="1">
      <c r="A5" s="16" t="inlineStr">
        <is>
          <t>TOTAL INGRESOS</t>
        </is>
      </c>
      <c r="D5" s="17">
        <f>SUM(D5:D4)</f>
        <v/>
      </c>
      <c r="E5" s="17">
        <f>SUM(E5:E4)</f>
        <v/>
      </c>
      <c r="F5" s="18" t="n"/>
      <c r="G5" s="18" t="n"/>
    </row>
    <row r="6" ht="8" customHeight="1">
      <c r="A6" s="19" t="n"/>
      <c r="B6" s="19" t="n"/>
      <c r="C6" s="19" t="n"/>
      <c r="D6" s="19" t="n"/>
      <c r="E6" s="19" t="n"/>
      <c r="F6" s="19" t="n"/>
      <c r="G6" s="19" t="n"/>
    </row>
    <row r="7" ht="24" customHeight="1">
      <c r="A7" s="20" t="inlineStr">
        <is>
          <t>▼ EGRESOS FIJOS</t>
        </is>
      </c>
    </row>
    <row r="8" ht="20" customHeight="1">
      <c r="A8" s="21" t="inlineStr">
        <is>
          <t>#</t>
        </is>
      </c>
      <c r="B8" s="21" t="inlineStr">
        <is>
          <t>Description</t>
        </is>
      </c>
      <c r="C8" s="21" t="inlineStr">
        <is>
          <t>ARS</t>
        </is>
      </c>
      <c r="D8" s="21" t="inlineStr">
        <is>
          <t>USD</t>
        </is>
      </c>
      <c r="E8" s="21" t="inlineStr">
        <is>
          <t>Status</t>
        </is>
      </c>
      <c r="F8" s="21" t="inlineStr"/>
      <c r="G8" s="21" t="inlineStr"/>
    </row>
    <row r="9" ht="22" customHeight="1">
      <c r="A9" s="16" t="inlineStr">
        <is>
          <t>TOTAL FIJOS</t>
        </is>
      </c>
      <c r="D9" s="17">
        <f>SUM(D9:D8)</f>
        <v/>
      </c>
      <c r="E9" s="17">
        <f>SUM(E9:E8)</f>
        <v/>
      </c>
      <c r="F9" s="18" t="n"/>
      <c r="G9" s="18" t="n"/>
    </row>
    <row r="10" ht="8" customHeight="1">
      <c r="A10" s="19" t="n"/>
      <c r="B10" s="19" t="n"/>
      <c r="C10" s="19" t="n"/>
      <c r="D10" s="19" t="n"/>
      <c r="E10" s="19" t="n"/>
      <c r="F10" s="19" t="n"/>
      <c r="G10" s="19" t="n"/>
    </row>
    <row r="11" ht="24" customHeight="1">
      <c r="A11" s="22" t="inlineStr">
        <is>
          <t>📋 GASTOS DEL MES</t>
        </is>
      </c>
    </row>
    <row r="12" ht="20" customHeight="1">
      <c r="A12" s="23" t="inlineStr">
        <is>
          <t>#</t>
        </is>
      </c>
      <c r="B12" s="23" t="inlineStr">
        <is>
          <t>Date</t>
        </is>
      </c>
      <c r="C12" s="23" t="inlineStr">
        <is>
          <t>Description</t>
        </is>
      </c>
      <c r="D12" s="23" t="inlineStr">
        <is>
          <t>ARS</t>
        </is>
      </c>
      <c r="E12" s="23" t="inlineStr">
        <is>
          <t>USD</t>
        </is>
      </c>
      <c r="F12" s="23" t="inlineStr">
        <is>
          <t>Category</t>
        </is>
      </c>
      <c r="G12" s="23" t="inlineStr">
        <is>
          <t>Payment</t>
        </is>
      </c>
    </row>
    <row r="13" ht="18" customHeight="1">
      <c r="A13" s="8" t="n">
        <v>1</v>
      </c>
      <c r="B13" s="8" t="inlineStr">
        <is>
          <t>01</t>
        </is>
      </c>
      <c r="C13" s="9" t="inlineStr">
        <is>
          <t>Comida</t>
        </is>
      </c>
      <c r="D13" s="10" t="n"/>
      <c r="E13" s="10" t="n">
        <v>30</v>
      </c>
      <c r="F13" s="9" t="inlineStr"/>
      <c r="G13" s="9" t="inlineStr"/>
    </row>
    <row r="14" ht="18" customHeight="1">
      <c r="A14" s="12" t="n">
        <v>2</v>
      </c>
      <c r="B14" s="12" t="inlineStr">
        <is>
          <t>05</t>
        </is>
      </c>
      <c r="C14" s="13" t="inlineStr">
        <is>
          <t>Transporte</t>
        </is>
      </c>
      <c r="D14" s="14" t="n"/>
      <c r="E14" s="14" t="n">
        <v>20</v>
      </c>
      <c r="F14" s="13" t="inlineStr"/>
      <c r="G14" s="13" t="inlineStr"/>
    </row>
    <row r="15" ht="18" customHeight="1">
      <c r="A15" s="8" t="n">
        <v>3</v>
      </c>
      <c r="B15" s="8" t="inlineStr">
        <is>
          <t>10</t>
        </is>
      </c>
      <c r="C15" s="9" t="inlineStr">
        <is>
          <t>Supermercado</t>
        </is>
      </c>
      <c r="D15" s="10" t="n"/>
      <c r="E15" s="10" t="n">
        <v>55</v>
      </c>
      <c r="F15" s="9" t="inlineStr"/>
      <c r="G15" s="9" t="inlineStr"/>
    </row>
    <row r="16" ht="18" customHeight="1">
      <c r="A16" s="12" t="n">
        <v>4</v>
      </c>
      <c r="B16" s="12" t="inlineStr">
        <is>
          <t>15</t>
        </is>
      </c>
      <c r="C16" s="13" t="inlineStr">
        <is>
          <t>Restaurante</t>
        </is>
      </c>
      <c r="D16" s="14" t="n"/>
      <c r="E16" s="14" t="n">
        <v>35</v>
      </c>
      <c r="F16" s="13" t="inlineStr"/>
      <c r="G16" s="13" t="inlineStr"/>
    </row>
    <row r="17" ht="18" customHeight="1">
      <c r="A17" s="8" t="n">
        <v>5</v>
      </c>
      <c r="B17" s="8" t="inlineStr">
        <is>
          <t>20</t>
        </is>
      </c>
      <c r="C17" s="9" t="inlineStr">
        <is>
          <t>Misc</t>
        </is>
      </c>
      <c r="D17" s="10" t="n"/>
      <c r="E17" s="10" t="n">
        <v>25</v>
      </c>
      <c r="F17" s="9" t="inlineStr"/>
      <c r="G17" s="9" t="inlineStr"/>
    </row>
    <row r="18" ht="18" customHeight="1">
      <c r="A18" s="25" t="n"/>
      <c r="B18" s="25" t="n"/>
      <c r="C18" s="25" t="n"/>
      <c r="D18" s="25" t="n"/>
      <c r="E18" s="25" t="n"/>
      <c r="F18" s="25" t="n"/>
      <c r="G18" s="25" t="n"/>
    </row>
    <row r="19" ht="18" customHeight="1">
      <c r="A19" s="24" t="n"/>
      <c r="B19" s="24" t="n"/>
      <c r="C19" s="24" t="n"/>
      <c r="D19" s="24" t="n"/>
      <c r="E19" s="24" t="n"/>
      <c r="F19" s="24" t="n"/>
      <c r="G19" s="24" t="n"/>
    </row>
    <row r="20" ht="18" customHeight="1">
      <c r="A20" s="25" t="n"/>
      <c r="B20" s="25" t="n"/>
      <c r="C20" s="25" t="n"/>
      <c r="D20" s="25" t="n"/>
      <c r="E20" s="25" t="n"/>
      <c r="F20" s="25" t="n"/>
      <c r="G20" s="25" t="n"/>
    </row>
    <row r="21" ht="18" customHeight="1">
      <c r="A21" s="24" t="n"/>
      <c r="B21" s="24" t="n"/>
      <c r="C21" s="24" t="n"/>
      <c r="D21" s="24" t="n"/>
      <c r="E21" s="24" t="n"/>
      <c r="F21" s="24" t="n"/>
      <c r="G21" s="24" t="n"/>
    </row>
    <row r="22" ht="18" customHeight="1">
      <c r="A22" s="25" t="n"/>
      <c r="B22" s="25" t="n"/>
      <c r="C22" s="25" t="n"/>
      <c r="D22" s="25" t="n"/>
      <c r="E22" s="25" t="n"/>
      <c r="F22" s="25" t="n"/>
      <c r="G22" s="25" t="n"/>
    </row>
    <row r="23" ht="18" customHeight="1">
      <c r="A23" s="24" t="n"/>
      <c r="B23" s="24" t="n"/>
      <c r="C23" s="24" t="n"/>
      <c r="D23" s="24" t="n"/>
      <c r="E23" s="24" t="n"/>
      <c r="F23" s="24" t="n"/>
      <c r="G23" s="24" t="n"/>
    </row>
    <row r="24" ht="18" customHeight="1">
      <c r="A24" s="25" t="n"/>
      <c r="B24" s="25" t="n"/>
      <c r="C24" s="25" t="n"/>
      <c r="D24" s="25" t="n"/>
      <c r="E24" s="25" t="n"/>
      <c r="F24" s="25" t="n"/>
      <c r="G24" s="25" t="n"/>
    </row>
    <row r="25" ht="18" customHeight="1">
      <c r="A25" s="24" t="n"/>
      <c r="B25" s="24" t="n"/>
      <c r="C25" s="24" t="n"/>
      <c r="D25" s="24" t="n"/>
      <c r="E25" s="24" t="n"/>
      <c r="F25" s="24" t="n"/>
      <c r="G25" s="24" t="n"/>
    </row>
    <row r="26" ht="18" customHeight="1">
      <c r="A26" s="25" t="n"/>
      <c r="B26" s="25" t="n"/>
      <c r="C26" s="25" t="n"/>
      <c r="D26" s="25" t="n"/>
      <c r="E26" s="25" t="n"/>
      <c r="F26" s="25" t="n"/>
      <c r="G26" s="25" t="n"/>
    </row>
    <row r="27" ht="18" customHeight="1">
      <c r="A27" s="24" t="n"/>
      <c r="B27" s="24" t="n"/>
      <c r="C27" s="24" t="n"/>
      <c r="D27" s="24" t="n"/>
      <c r="E27" s="24" t="n"/>
      <c r="F27" s="24" t="n"/>
      <c r="G27" s="24" t="n"/>
    </row>
    <row r="28" ht="18" customHeight="1">
      <c r="A28" s="25" t="n"/>
      <c r="B28" s="25" t="n"/>
      <c r="C28" s="25" t="n"/>
      <c r="D28" s="25" t="n"/>
      <c r="E28" s="25" t="n"/>
      <c r="F28" s="25" t="n"/>
      <c r="G28" s="25" t="n"/>
    </row>
    <row r="29" ht="18" customHeight="1">
      <c r="A29" s="24" t="n"/>
      <c r="B29" s="24" t="n"/>
      <c r="C29" s="24" t="n"/>
      <c r="D29" s="24" t="n"/>
      <c r="E29" s="24" t="n"/>
      <c r="F29" s="24" t="n"/>
      <c r="G29" s="24" t="n"/>
    </row>
    <row r="30" ht="18" customHeight="1">
      <c r="A30" s="25" t="n"/>
      <c r="B30" s="25" t="n"/>
      <c r="C30" s="25" t="n"/>
      <c r="D30" s="25" t="n"/>
      <c r="E30" s="25" t="n"/>
      <c r="F30" s="25" t="n"/>
      <c r="G30" s="25" t="n"/>
    </row>
    <row r="31" ht="18" customHeight="1">
      <c r="A31" s="24" t="n"/>
      <c r="B31" s="24" t="n"/>
      <c r="C31" s="24" t="n"/>
      <c r="D31" s="24" t="n"/>
      <c r="E31" s="24" t="n"/>
      <c r="F31" s="24" t="n"/>
      <c r="G31" s="24" t="n"/>
    </row>
    <row r="32" ht="18" customHeight="1">
      <c r="A32" s="25" t="n"/>
      <c r="B32" s="25" t="n"/>
      <c r="C32" s="25" t="n"/>
      <c r="D32" s="25" t="n"/>
      <c r="E32" s="25" t="n"/>
      <c r="F32" s="25" t="n"/>
      <c r="G32" s="25" t="n"/>
    </row>
    <row r="33" ht="18" customHeight="1">
      <c r="A33" s="24" t="n"/>
      <c r="B33" s="24" t="n"/>
      <c r="C33" s="24" t="n"/>
      <c r="D33" s="24" t="n"/>
      <c r="E33" s="24" t="n"/>
      <c r="F33" s="24" t="n"/>
      <c r="G33" s="24" t="n"/>
    </row>
    <row r="34" ht="18" customHeight="1">
      <c r="A34" s="25" t="n"/>
      <c r="B34" s="25" t="n"/>
      <c r="C34" s="25" t="n"/>
      <c r="D34" s="25" t="n"/>
      <c r="E34" s="25" t="n"/>
      <c r="F34" s="25" t="n"/>
      <c r="G34" s="25" t="n"/>
    </row>
    <row r="35" ht="18" customHeight="1">
      <c r="A35" s="24" t="n"/>
      <c r="B35" s="24" t="n"/>
      <c r="C35" s="24" t="n"/>
      <c r="D35" s="24" t="n"/>
      <c r="E35" s="24" t="n"/>
      <c r="F35" s="24" t="n"/>
      <c r="G35" s="24" t="n"/>
    </row>
    <row r="36" ht="18" customHeight="1">
      <c r="A36" s="25" t="n"/>
      <c r="B36" s="25" t="n"/>
      <c r="C36" s="25" t="n"/>
      <c r="D36" s="25" t="n"/>
      <c r="E36" s="25" t="n"/>
      <c r="F36" s="25" t="n"/>
      <c r="G36" s="25" t="n"/>
    </row>
    <row r="37" ht="18" customHeight="1">
      <c r="A37" s="24" t="n"/>
      <c r="B37" s="24" t="n"/>
      <c r="C37" s="24" t="n"/>
      <c r="D37" s="24" t="n"/>
      <c r="E37" s="24" t="n"/>
      <c r="F37" s="24" t="n"/>
      <c r="G37" s="24" t="n"/>
    </row>
    <row r="38" ht="22" customHeight="1">
      <c r="A38" s="16" t="inlineStr">
        <is>
          <t>TOTAL VARIABLE</t>
        </is>
      </c>
      <c r="D38" s="17">
        <f>SUM(D13:D37)</f>
        <v/>
      </c>
      <c r="E38" s="17">
        <f>SUM(E13:E37)</f>
        <v/>
      </c>
      <c r="F38" s="18" t="n"/>
      <c r="G38" s="18" t="n"/>
    </row>
    <row r="39" ht="8" customHeight="1">
      <c r="A39" s="19" t="n"/>
      <c r="B39" s="19" t="n"/>
      <c r="C39" s="19" t="n"/>
      <c r="D39" s="19" t="n"/>
      <c r="E39" s="19" t="n"/>
      <c r="F39" s="19" t="n"/>
      <c r="G39" s="19" t="n"/>
    </row>
    <row r="40" ht="26" customHeight="1">
      <c r="A40" s="26" t="inlineStr">
        <is>
          <t>💰 BALANCE</t>
        </is>
      </c>
      <c r="D40" s="27">
        <f>D5-D9-D38</f>
        <v/>
      </c>
      <c r="E40" s="27">
        <f>E5-E9-E38</f>
        <v/>
      </c>
      <c r="F40" s="28" t="n"/>
      <c r="G40" s="28" t="n"/>
    </row>
  </sheetData>
  <mergeCells count="9">
    <mergeCell ref="A1:G1"/>
    <mergeCell ref="A5:C5"/>
    <mergeCell ref="A3:G3"/>
    <mergeCell ref="A40:C40"/>
    <mergeCell ref="A9:C9"/>
    <mergeCell ref="A2"/>
    <mergeCell ref="A7:G7"/>
    <mergeCell ref="A11:G11"/>
    <mergeCell ref="A38:C38"/>
  </mergeCells>
  <dataValidations count="2">
    <dataValidation sqref="F13:F37" showDropDown="0" showInputMessage="0" showErrorMessage="0" allowBlank="1" type="list">
      <formula1>"Food,Transport,Health,Utilities,Entertainment,Tax,Savings,Big Buy,Personal,Other"</formula1>
    </dataValidation>
    <dataValidation sqref="G13:G37" showDropDown="0" showInputMessage="0" showErrorMessage="0" allowBlank="1" type="list">
      <formula1>"Cash ARS,USD Cash,Wise,Binance,MercadoPago,Tarjeta"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2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 ht="30" customHeight="1">
      <c r="A1" s="1" t="inlineStr">
        <is>
          <t>💸 SEP 2024 — GASTOS MENSUALES</t>
        </is>
      </c>
    </row>
    <row r="2" ht="22" customHeight="1">
      <c r="A2" s="2" t="inlineStr">
        <is>
          <t>USD/ARS</t>
        </is>
      </c>
      <c r="B2" s="3" t="n">
        <v>1</v>
      </c>
      <c r="C2" s="4" t="inlineStr">
        <is>
          <t>← update monthly</t>
        </is>
      </c>
      <c r="D2" s="5" t="n"/>
      <c r="E2" s="5" t="n"/>
      <c r="F2" s="5" t="n"/>
      <c r="G2" s="5" t="n"/>
    </row>
    <row r="3" ht="24" customHeight="1">
      <c r="A3" s="6" t="inlineStr">
        <is>
          <t>▲ INGRESOS</t>
        </is>
      </c>
    </row>
    <row r="4" ht="20" customHeight="1">
      <c r="A4" s="7" t="inlineStr">
        <is>
          <t>#</t>
        </is>
      </c>
      <c r="B4" s="7" t="inlineStr">
        <is>
          <t>Source</t>
        </is>
      </c>
      <c r="C4" s="7" t="inlineStr">
        <is>
          <t>Description</t>
        </is>
      </c>
      <c r="D4" s="7" t="inlineStr">
        <is>
          <t>ARS</t>
        </is>
      </c>
      <c r="E4" s="7" t="inlineStr">
        <is>
          <t>USD</t>
        </is>
      </c>
    </row>
    <row r="5" ht="22" customHeight="1">
      <c r="A5" s="16" t="inlineStr">
        <is>
          <t>TOTAL INGRESOS</t>
        </is>
      </c>
      <c r="D5" s="17">
        <f>SUM(D5:D4)</f>
        <v/>
      </c>
      <c r="E5" s="17">
        <f>SUM(E5:E4)</f>
        <v/>
      </c>
      <c r="F5" s="18" t="n"/>
      <c r="G5" s="18" t="n"/>
    </row>
    <row r="6" ht="8" customHeight="1">
      <c r="A6" s="19" t="n"/>
      <c r="B6" s="19" t="n"/>
      <c r="C6" s="19" t="n"/>
      <c r="D6" s="19" t="n"/>
      <c r="E6" s="19" t="n"/>
      <c r="F6" s="19" t="n"/>
      <c r="G6" s="19" t="n"/>
    </row>
    <row r="7" ht="24" customHeight="1">
      <c r="A7" s="20" t="inlineStr">
        <is>
          <t>▼ EGRESOS FIJOS</t>
        </is>
      </c>
    </row>
    <row r="8" ht="20" customHeight="1">
      <c r="A8" s="21" t="inlineStr">
        <is>
          <t>#</t>
        </is>
      </c>
      <c r="B8" s="21" t="inlineStr">
        <is>
          <t>Description</t>
        </is>
      </c>
      <c r="C8" s="21" t="inlineStr">
        <is>
          <t>ARS</t>
        </is>
      </c>
      <c r="D8" s="21" t="inlineStr">
        <is>
          <t>USD</t>
        </is>
      </c>
      <c r="E8" s="21" t="inlineStr">
        <is>
          <t>Status</t>
        </is>
      </c>
      <c r="F8" s="21" t="inlineStr"/>
      <c r="G8" s="21" t="inlineStr"/>
    </row>
    <row r="9" ht="22" customHeight="1">
      <c r="A9" s="16" t="inlineStr">
        <is>
          <t>TOTAL FIJOS</t>
        </is>
      </c>
      <c r="D9" s="17">
        <f>SUM(D9:D8)</f>
        <v/>
      </c>
      <c r="E9" s="17">
        <f>SUM(E9:E8)</f>
        <v/>
      </c>
      <c r="F9" s="18" t="n"/>
      <c r="G9" s="18" t="n"/>
    </row>
    <row r="10" ht="8" customHeight="1">
      <c r="A10" s="19" t="n"/>
      <c r="B10" s="19" t="n"/>
      <c r="C10" s="19" t="n"/>
      <c r="D10" s="19" t="n"/>
      <c r="E10" s="19" t="n"/>
      <c r="F10" s="19" t="n"/>
      <c r="G10" s="19" t="n"/>
    </row>
    <row r="11" ht="24" customHeight="1">
      <c r="A11" s="22" t="inlineStr">
        <is>
          <t>📋 GASTOS DEL MES</t>
        </is>
      </c>
    </row>
    <row r="12" ht="20" customHeight="1">
      <c r="A12" s="23" t="inlineStr">
        <is>
          <t>#</t>
        </is>
      </c>
      <c r="B12" s="23" t="inlineStr">
        <is>
          <t>Date</t>
        </is>
      </c>
      <c r="C12" s="23" t="inlineStr">
        <is>
          <t>Description</t>
        </is>
      </c>
      <c r="D12" s="23" t="inlineStr">
        <is>
          <t>ARS</t>
        </is>
      </c>
      <c r="E12" s="23" t="inlineStr">
        <is>
          <t>USD</t>
        </is>
      </c>
      <c r="F12" s="23" t="inlineStr">
        <is>
          <t>Category</t>
        </is>
      </c>
      <c r="G12" s="23" t="inlineStr">
        <is>
          <t>Payment</t>
        </is>
      </c>
    </row>
    <row r="13" ht="18" customHeight="1">
      <c r="A13" s="8" t="n">
        <v>1</v>
      </c>
      <c r="B13" s="8" t="inlineStr">
        <is>
          <t>02</t>
        </is>
      </c>
      <c r="C13" s="9" t="inlineStr">
        <is>
          <t>Calzoni</t>
        </is>
      </c>
      <c r="D13" s="10" t="n"/>
      <c r="E13" s="10" t="n">
        <v>8</v>
      </c>
      <c r="F13" s="9" t="inlineStr"/>
      <c r="G13" s="9" t="inlineStr"/>
    </row>
    <row r="14" ht="18" customHeight="1">
      <c r="A14" s="12" t="n">
        <v>2</v>
      </c>
      <c r="B14" s="12" t="inlineStr">
        <is>
          <t>03</t>
        </is>
      </c>
      <c r="C14" s="13" t="inlineStr">
        <is>
          <t>Pizza</t>
        </is>
      </c>
      <c r="D14" s="14" t="n"/>
      <c r="E14" s="14" t="n">
        <v>6</v>
      </c>
      <c r="F14" s="13" t="inlineStr"/>
      <c r="G14" s="13" t="inlineStr"/>
    </row>
    <row r="15" ht="18" customHeight="1">
      <c r="A15" s="8" t="n">
        <v>3</v>
      </c>
      <c r="B15" s="8" t="inlineStr">
        <is>
          <t>05</t>
        </is>
      </c>
      <c r="C15" s="9" t="inlineStr">
        <is>
          <t>Remeras HM</t>
        </is>
      </c>
      <c r="D15" s="10" t="n"/>
      <c r="E15" s="10" t="n">
        <v>20</v>
      </c>
      <c r="F15" s="9" t="inlineStr"/>
      <c r="G15" s="9" t="inlineStr"/>
    </row>
    <row r="16" ht="18" customHeight="1">
      <c r="A16" s="12" t="n">
        <v>4</v>
      </c>
      <c r="B16" s="12" t="inlineStr">
        <is>
          <t>10</t>
        </is>
      </c>
      <c r="C16" s="13" t="inlineStr">
        <is>
          <t>Supermercado</t>
        </is>
      </c>
      <c r="D16" s="14" t="n"/>
      <c r="E16" s="14" t="n">
        <v>40</v>
      </c>
      <c r="F16" s="13" t="inlineStr"/>
      <c r="G16" s="13" t="inlineStr"/>
    </row>
    <row r="17" ht="18" customHeight="1">
      <c r="A17" s="8" t="n">
        <v>5</v>
      </c>
      <c r="B17" s="8" t="inlineStr">
        <is>
          <t>15</t>
        </is>
      </c>
      <c r="C17" s="9" t="inlineStr">
        <is>
          <t>Transporte</t>
        </is>
      </c>
      <c r="D17" s="10" t="n"/>
      <c r="E17" s="10" t="n">
        <v>15</v>
      </c>
      <c r="F17" s="9" t="inlineStr"/>
      <c r="G17" s="9" t="inlineStr"/>
    </row>
    <row r="18" ht="18" customHeight="1">
      <c r="A18" s="25" t="n"/>
      <c r="B18" s="25" t="n"/>
      <c r="C18" s="25" t="n"/>
      <c r="D18" s="25" t="n"/>
      <c r="E18" s="25" t="n"/>
      <c r="F18" s="25" t="n"/>
      <c r="G18" s="25" t="n"/>
    </row>
    <row r="19" ht="18" customHeight="1">
      <c r="A19" s="24" t="n"/>
      <c r="B19" s="24" t="n"/>
      <c r="C19" s="24" t="n"/>
      <c r="D19" s="24" t="n"/>
      <c r="E19" s="24" t="n"/>
      <c r="F19" s="24" t="n"/>
      <c r="G19" s="24" t="n"/>
    </row>
    <row r="20" ht="18" customHeight="1">
      <c r="A20" s="25" t="n"/>
      <c r="B20" s="25" t="n"/>
      <c r="C20" s="25" t="n"/>
      <c r="D20" s="25" t="n"/>
      <c r="E20" s="25" t="n"/>
      <c r="F20" s="25" t="n"/>
      <c r="G20" s="25" t="n"/>
    </row>
    <row r="21" ht="18" customHeight="1">
      <c r="A21" s="24" t="n"/>
      <c r="B21" s="24" t="n"/>
      <c r="C21" s="24" t="n"/>
      <c r="D21" s="24" t="n"/>
      <c r="E21" s="24" t="n"/>
      <c r="F21" s="24" t="n"/>
      <c r="G21" s="24" t="n"/>
    </row>
    <row r="22" ht="18" customHeight="1">
      <c r="A22" s="25" t="n"/>
      <c r="B22" s="25" t="n"/>
      <c r="C22" s="25" t="n"/>
      <c r="D22" s="25" t="n"/>
      <c r="E22" s="25" t="n"/>
      <c r="F22" s="25" t="n"/>
      <c r="G22" s="25" t="n"/>
    </row>
    <row r="23" ht="18" customHeight="1">
      <c r="A23" s="24" t="n"/>
      <c r="B23" s="24" t="n"/>
      <c r="C23" s="24" t="n"/>
      <c r="D23" s="24" t="n"/>
      <c r="E23" s="24" t="n"/>
      <c r="F23" s="24" t="n"/>
      <c r="G23" s="24" t="n"/>
    </row>
    <row r="24" ht="18" customHeight="1">
      <c r="A24" s="25" t="n"/>
      <c r="B24" s="25" t="n"/>
      <c r="C24" s="25" t="n"/>
      <c r="D24" s="25" t="n"/>
      <c r="E24" s="25" t="n"/>
      <c r="F24" s="25" t="n"/>
      <c r="G24" s="25" t="n"/>
    </row>
    <row r="25" ht="18" customHeight="1">
      <c r="A25" s="24" t="n"/>
      <c r="B25" s="24" t="n"/>
      <c r="C25" s="24" t="n"/>
      <c r="D25" s="24" t="n"/>
      <c r="E25" s="24" t="n"/>
      <c r="F25" s="24" t="n"/>
      <c r="G25" s="24" t="n"/>
    </row>
    <row r="26" ht="18" customHeight="1">
      <c r="A26" s="25" t="n"/>
      <c r="B26" s="25" t="n"/>
      <c r="C26" s="25" t="n"/>
      <c r="D26" s="25" t="n"/>
      <c r="E26" s="25" t="n"/>
      <c r="F26" s="25" t="n"/>
      <c r="G26" s="25" t="n"/>
    </row>
    <row r="27" ht="18" customHeight="1">
      <c r="A27" s="24" t="n"/>
      <c r="B27" s="24" t="n"/>
      <c r="C27" s="24" t="n"/>
      <c r="D27" s="24" t="n"/>
      <c r="E27" s="24" t="n"/>
      <c r="F27" s="24" t="n"/>
      <c r="G27" s="24" t="n"/>
    </row>
    <row r="28" ht="18" customHeight="1">
      <c r="A28" s="25" t="n"/>
      <c r="B28" s="25" t="n"/>
      <c r="C28" s="25" t="n"/>
      <c r="D28" s="25" t="n"/>
      <c r="E28" s="25" t="n"/>
      <c r="F28" s="25" t="n"/>
      <c r="G28" s="25" t="n"/>
    </row>
    <row r="29" ht="18" customHeight="1">
      <c r="A29" s="24" t="n"/>
      <c r="B29" s="24" t="n"/>
      <c r="C29" s="24" t="n"/>
      <c r="D29" s="24" t="n"/>
      <c r="E29" s="24" t="n"/>
      <c r="F29" s="24" t="n"/>
      <c r="G29" s="24" t="n"/>
    </row>
    <row r="30" ht="18" customHeight="1">
      <c r="A30" s="25" t="n"/>
      <c r="B30" s="25" t="n"/>
      <c r="C30" s="25" t="n"/>
      <c r="D30" s="25" t="n"/>
      <c r="E30" s="25" t="n"/>
      <c r="F30" s="25" t="n"/>
      <c r="G30" s="25" t="n"/>
    </row>
    <row r="31" ht="18" customHeight="1">
      <c r="A31" s="24" t="n"/>
      <c r="B31" s="24" t="n"/>
      <c r="C31" s="24" t="n"/>
      <c r="D31" s="24" t="n"/>
      <c r="E31" s="24" t="n"/>
      <c r="F31" s="24" t="n"/>
      <c r="G31" s="24" t="n"/>
    </row>
    <row r="32" ht="18" customHeight="1">
      <c r="A32" s="25" t="n"/>
      <c r="B32" s="25" t="n"/>
      <c r="C32" s="25" t="n"/>
      <c r="D32" s="25" t="n"/>
      <c r="E32" s="25" t="n"/>
      <c r="F32" s="25" t="n"/>
      <c r="G32" s="25" t="n"/>
    </row>
    <row r="33" ht="18" customHeight="1">
      <c r="A33" s="24" t="n"/>
      <c r="B33" s="24" t="n"/>
      <c r="C33" s="24" t="n"/>
      <c r="D33" s="24" t="n"/>
      <c r="E33" s="24" t="n"/>
      <c r="F33" s="24" t="n"/>
      <c r="G33" s="24" t="n"/>
    </row>
    <row r="34" ht="18" customHeight="1">
      <c r="A34" s="25" t="n"/>
      <c r="B34" s="25" t="n"/>
      <c r="C34" s="25" t="n"/>
      <c r="D34" s="25" t="n"/>
      <c r="E34" s="25" t="n"/>
      <c r="F34" s="25" t="n"/>
      <c r="G34" s="25" t="n"/>
    </row>
    <row r="35" ht="18" customHeight="1">
      <c r="A35" s="24" t="n"/>
      <c r="B35" s="24" t="n"/>
      <c r="C35" s="24" t="n"/>
      <c r="D35" s="24" t="n"/>
      <c r="E35" s="24" t="n"/>
      <c r="F35" s="24" t="n"/>
      <c r="G35" s="24" t="n"/>
    </row>
    <row r="36" ht="18" customHeight="1">
      <c r="A36" s="25" t="n"/>
      <c r="B36" s="25" t="n"/>
      <c r="C36" s="25" t="n"/>
      <c r="D36" s="25" t="n"/>
      <c r="E36" s="25" t="n"/>
      <c r="F36" s="25" t="n"/>
      <c r="G36" s="25" t="n"/>
    </row>
    <row r="37" ht="18" customHeight="1">
      <c r="A37" s="24" t="n"/>
      <c r="B37" s="24" t="n"/>
      <c r="C37" s="24" t="n"/>
      <c r="D37" s="24" t="n"/>
      <c r="E37" s="24" t="n"/>
      <c r="F37" s="24" t="n"/>
      <c r="G37" s="24" t="n"/>
    </row>
    <row r="38" ht="22" customHeight="1">
      <c r="A38" s="16" t="inlineStr">
        <is>
          <t>TOTAL VARIABLE</t>
        </is>
      </c>
      <c r="D38" s="17">
        <f>SUM(D13:D37)</f>
        <v/>
      </c>
      <c r="E38" s="17">
        <f>SUM(E13:E37)</f>
        <v/>
      </c>
      <c r="F38" s="18" t="n"/>
      <c r="G38" s="18" t="n"/>
    </row>
    <row r="39" ht="8" customHeight="1">
      <c r="A39" s="19" t="n"/>
      <c r="B39" s="19" t="n"/>
      <c r="C39" s="19" t="n"/>
      <c r="D39" s="19" t="n"/>
      <c r="E39" s="19" t="n"/>
      <c r="F39" s="19" t="n"/>
      <c r="G39" s="19" t="n"/>
    </row>
    <row r="40" ht="26" customHeight="1">
      <c r="A40" s="26" t="inlineStr">
        <is>
          <t>💰 BALANCE</t>
        </is>
      </c>
      <c r="D40" s="27">
        <f>D5-D9-D38</f>
        <v/>
      </c>
      <c r="E40" s="27">
        <f>E5-E9-E38</f>
        <v/>
      </c>
      <c r="F40" s="28" t="n"/>
      <c r="G40" s="28" t="n"/>
    </row>
  </sheetData>
  <mergeCells count="9">
    <mergeCell ref="A1:G1"/>
    <mergeCell ref="A5:C5"/>
    <mergeCell ref="A3:G3"/>
    <mergeCell ref="A40:C40"/>
    <mergeCell ref="A9:C9"/>
    <mergeCell ref="A2"/>
    <mergeCell ref="A7:G7"/>
    <mergeCell ref="A11:G11"/>
    <mergeCell ref="A38:C38"/>
  </mergeCells>
  <dataValidations count="2">
    <dataValidation sqref="F13:F37" showDropDown="0" showInputMessage="0" showErrorMessage="0" allowBlank="1" type="list">
      <formula1>"Food,Transport,Health,Utilities,Entertainment,Tax,Savings,Big Buy,Personal,Other"</formula1>
    </dataValidation>
    <dataValidation sqref="G13:G37" showDropDown="0" showInputMessage="0" showErrorMessage="0" allowBlank="1" type="list">
      <formula1>"Cash ARS,USD Cash,Wise,Binance,MercadoPago,Tarjeta"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2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 ht="30" customHeight="1">
      <c r="A1" s="1" t="inlineStr">
        <is>
          <t>💸 OCT 2024 — GASTOS MENSUALES</t>
        </is>
      </c>
    </row>
    <row r="2" ht="22" customHeight="1">
      <c r="A2" s="2" t="inlineStr">
        <is>
          <t>USD/ARS</t>
        </is>
      </c>
      <c r="B2" s="3" t="n">
        <v>1</v>
      </c>
      <c r="C2" s="4" t="inlineStr">
        <is>
          <t>← update monthly</t>
        </is>
      </c>
      <c r="D2" s="5" t="n"/>
      <c r="E2" s="5" t="n"/>
      <c r="F2" s="5" t="n"/>
      <c r="G2" s="5" t="n"/>
    </row>
    <row r="3" ht="24" customHeight="1">
      <c r="A3" s="6" t="inlineStr">
        <is>
          <t>▲ INGRESOS</t>
        </is>
      </c>
    </row>
    <row r="4" ht="20" customHeight="1">
      <c r="A4" s="7" t="inlineStr">
        <is>
          <t>#</t>
        </is>
      </c>
      <c r="B4" s="7" t="inlineStr">
        <is>
          <t>Source</t>
        </is>
      </c>
      <c r="C4" s="7" t="inlineStr">
        <is>
          <t>Description</t>
        </is>
      </c>
      <c r="D4" s="7" t="inlineStr">
        <is>
          <t>ARS</t>
        </is>
      </c>
      <c r="E4" s="7" t="inlineStr">
        <is>
          <t>USD</t>
        </is>
      </c>
    </row>
    <row r="5" ht="22" customHeight="1">
      <c r="A5" s="16" t="inlineStr">
        <is>
          <t>TOTAL INGRESOS</t>
        </is>
      </c>
      <c r="D5" s="17">
        <f>SUM(D5:D4)</f>
        <v/>
      </c>
      <c r="E5" s="17">
        <f>SUM(E5:E4)</f>
        <v/>
      </c>
      <c r="F5" s="18" t="n"/>
      <c r="G5" s="18" t="n"/>
    </row>
    <row r="6" ht="8" customHeight="1">
      <c r="A6" s="19" t="n"/>
      <c r="B6" s="19" t="n"/>
      <c r="C6" s="19" t="n"/>
      <c r="D6" s="19" t="n"/>
      <c r="E6" s="19" t="n"/>
      <c r="F6" s="19" t="n"/>
      <c r="G6" s="19" t="n"/>
    </row>
    <row r="7" ht="24" customHeight="1">
      <c r="A7" s="20" t="inlineStr">
        <is>
          <t>▼ EGRESOS FIJOS</t>
        </is>
      </c>
    </row>
    <row r="8" ht="20" customHeight="1">
      <c r="A8" s="21" t="inlineStr">
        <is>
          <t>#</t>
        </is>
      </c>
      <c r="B8" s="21" t="inlineStr">
        <is>
          <t>Description</t>
        </is>
      </c>
      <c r="C8" s="21" t="inlineStr">
        <is>
          <t>ARS</t>
        </is>
      </c>
      <c r="D8" s="21" t="inlineStr">
        <is>
          <t>USD</t>
        </is>
      </c>
      <c r="E8" s="21" t="inlineStr">
        <is>
          <t>Status</t>
        </is>
      </c>
      <c r="F8" s="21" t="inlineStr"/>
      <c r="G8" s="21" t="inlineStr"/>
    </row>
    <row r="9" ht="22" customHeight="1">
      <c r="A9" s="16" t="inlineStr">
        <is>
          <t>TOTAL FIJOS</t>
        </is>
      </c>
      <c r="D9" s="17">
        <f>SUM(D9:D8)</f>
        <v/>
      </c>
      <c r="E9" s="17">
        <f>SUM(E9:E8)</f>
        <v/>
      </c>
      <c r="F9" s="18" t="n"/>
      <c r="G9" s="18" t="n"/>
    </row>
    <row r="10" ht="8" customHeight="1">
      <c r="A10" s="19" t="n"/>
      <c r="B10" s="19" t="n"/>
      <c r="C10" s="19" t="n"/>
      <c r="D10" s="19" t="n"/>
      <c r="E10" s="19" t="n"/>
      <c r="F10" s="19" t="n"/>
      <c r="G10" s="19" t="n"/>
    </row>
    <row r="11" ht="24" customHeight="1">
      <c r="A11" s="22" t="inlineStr">
        <is>
          <t>📋 GASTOS DEL MES</t>
        </is>
      </c>
    </row>
    <row r="12" ht="20" customHeight="1">
      <c r="A12" s="23" t="inlineStr">
        <is>
          <t>#</t>
        </is>
      </c>
      <c r="B12" s="23" t="inlineStr">
        <is>
          <t>Date</t>
        </is>
      </c>
      <c r="C12" s="23" t="inlineStr">
        <is>
          <t>Description</t>
        </is>
      </c>
      <c r="D12" s="23" t="inlineStr">
        <is>
          <t>ARS</t>
        </is>
      </c>
      <c r="E12" s="23" t="inlineStr">
        <is>
          <t>USD</t>
        </is>
      </c>
      <c r="F12" s="23" t="inlineStr">
        <is>
          <t>Category</t>
        </is>
      </c>
      <c r="G12" s="23" t="inlineStr">
        <is>
          <t>Payment</t>
        </is>
      </c>
    </row>
    <row r="13" ht="18" customHeight="1">
      <c r="A13" s="8" t="n">
        <v>1</v>
      </c>
      <c r="B13" s="8" t="inlineStr">
        <is>
          <t>04</t>
        </is>
      </c>
      <c r="C13" s="9" t="inlineStr">
        <is>
          <t>Yerba</t>
        </is>
      </c>
      <c r="D13" s="10" t="n"/>
      <c r="E13" s="10" t="n">
        <v>8</v>
      </c>
      <c r="F13" s="9" t="inlineStr"/>
      <c r="G13" s="9" t="inlineStr"/>
    </row>
    <row r="14" ht="18" customHeight="1">
      <c r="A14" s="12" t="n">
        <v>2</v>
      </c>
      <c r="B14" s="12" t="inlineStr">
        <is>
          <t>06</t>
        </is>
      </c>
      <c r="C14" s="13" t="inlineStr">
        <is>
          <t>Nachos y hummus</t>
        </is>
      </c>
      <c r="D14" s="14" t="n"/>
      <c r="E14" s="14" t="n">
        <v>9</v>
      </c>
      <c r="F14" s="13" t="inlineStr"/>
      <c r="G14" s="13" t="inlineStr"/>
    </row>
    <row r="15" ht="18" customHeight="1">
      <c r="A15" s="8" t="n">
        <v>3</v>
      </c>
      <c r="B15" s="8" t="inlineStr">
        <is>
          <t>07</t>
        </is>
      </c>
      <c r="C15" s="9" t="inlineStr">
        <is>
          <t>Pizza Mercadona</t>
        </is>
      </c>
      <c r="D15" s="10" t="n"/>
      <c r="E15" s="10" t="n">
        <v>6</v>
      </c>
      <c r="F15" s="9" t="inlineStr"/>
      <c r="G15" s="9" t="inlineStr"/>
    </row>
    <row r="16" ht="18" customHeight="1">
      <c r="A16" s="12" t="n">
        <v>4</v>
      </c>
      <c r="B16" s="12" t="inlineStr">
        <is>
          <t>15</t>
        </is>
      </c>
      <c r="C16" s="13" t="inlineStr">
        <is>
          <t>Supermercado</t>
        </is>
      </c>
      <c r="D16" s="14" t="n"/>
      <c r="E16" s="14" t="n">
        <v>38</v>
      </c>
      <c r="F16" s="13" t="inlineStr"/>
      <c r="G16" s="13" t="inlineStr"/>
    </row>
    <row r="17" ht="18" customHeight="1">
      <c r="A17" s="8" t="n">
        <v>5</v>
      </c>
      <c r="B17" s="8" t="inlineStr">
        <is>
          <t>20</t>
        </is>
      </c>
      <c r="C17" s="9" t="inlineStr">
        <is>
          <t>Misc</t>
        </is>
      </c>
      <c r="D17" s="10" t="n"/>
      <c r="E17" s="10" t="n">
        <v>20</v>
      </c>
      <c r="F17" s="9" t="inlineStr"/>
      <c r="G17" s="9" t="inlineStr"/>
    </row>
    <row r="18" ht="18" customHeight="1">
      <c r="A18" s="25" t="n"/>
      <c r="B18" s="25" t="n"/>
      <c r="C18" s="25" t="n"/>
      <c r="D18" s="25" t="n"/>
      <c r="E18" s="25" t="n"/>
      <c r="F18" s="25" t="n"/>
      <c r="G18" s="25" t="n"/>
    </row>
    <row r="19" ht="18" customHeight="1">
      <c r="A19" s="24" t="n"/>
      <c r="B19" s="24" t="n"/>
      <c r="C19" s="24" t="n"/>
      <c r="D19" s="24" t="n"/>
      <c r="E19" s="24" t="n"/>
      <c r="F19" s="24" t="n"/>
      <c r="G19" s="24" t="n"/>
    </row>
    <row r="20" ht="18" customHeight="1">
      <c r="A20" s="25" t="n"/>
      <c r="B20" s="25" t="n"/>
      <c r="C20" s="25" t="n"/>
      <c r="D20" s="25" t="n"/>
      <c r="E20" s="25" t="n"/>
      <c r="F20" s="25" t="n"/>
      <c r="G20" s="25" t="n"/>
    </row>
    <row r="21" ht="18" customHeight="1">
      <c r="A21" s="24" t="n"/>
      <c r="B21" s="24" t="n"/>
      <c r="C21" s="24" t="n"/>
      <c r="D21" s="24" t="n"/>
      <c r="E21" s="24" t="n"/>
      <c r="F21" s="24" t="n"/>
      <c r="G21" s="24" t="n"/>
    </row>
    <row r="22" ht="18" customHeight="1">
      <c r="A22" s="25" t="n"/>
      <c r="B22" s="25" t="n"/>
      <c r="C22" s="25" t="n"/>
      <c r="D22" s="25" t="n"/>
      <c r="E22" s="25" t="n"/>
      <c r="F22" s="25" t="n"/>
      <c r="G22" s="25" t="n"/>
    </row>
    <row r="23" ht="18" customHeight="1">
      <c r="A23" s="24" t="n"/>
      <c r="B23" s="24" t="n"/>
      <c r="C23" s="24" t="n"/>
      <c r="D23" s="24" t="n"/>
      <c r="E23" s="24" t="n"/>
      <c r="F23" s="24" t="n"/>
      <c r="G23" s="24" t="n"/>
    </row>
    <row r="24" ht="18" customHeight="1">
      <c r="A24" s="25" t="n"/>
      <c r="B24" s="25" t="n"/>
      <c r="C24" s="25" t="n"/>
      <c r="D24" s="25" t="n"/>
      <c r="E24" s="25" t="n"/>
      <c r="F24" s="25" t="n"/>
      <c r="G24" s="25" t="n"/>
    </row>
    <row r="25" ht="18" customHeight="1">
      <c r="A25" s="24" t="n"/>
      <c r="B25" s="24" t="n"/>
      <c r="C25" s="24" t="n"/>
      <c r="D25" s="24" t="n"/>
      <c r="E25" s="24" t="n"/>
      <c r="F25" s="24" t="n"/>
      <c r="G25" s="24" t="n"/>
    </row>
    <row r="26" ht="18" customHeight="1">
      <c r="A26" s="25" t="n"/>
      <c r="B26" s="25" t="n"/>
      <c r="C26" s="25" t="n"/>
      <c r="D26" s="25" t="n"/>
      <c r="E26" s="25" t="n"/>
      <c r="F26" s="25" t="n"/>
      <c r="G26" s="25" t="n"/>
    </row>
    <row r="27" ht="18" customHeight="1">
      <c r="A27" s="24" t="n"/>
      <c r="B27" s="24" t="n"/>
      <c r="C27" s="24" t="n"/>
      <c r="D27" s="24" t="n"/>
      <c r="E27" s="24" t="n"/>
      <c r="F27" s="24" t="n"/>
      <c r="G27" s="24" t="n"/>
    </row>
    <row r="28" ht="18" customHeight="1">
      <c r="A28" s="25" t="n"/>
      <c r="B28" s="25" t="n"/>
      <c r="C28" s="25" t="n"/>
      <c r="D28" s="25" t="n"/>
      <c r="E28" s="25" t="n"/>
      <c r="F28" s="25" t="n"/>
      <c r="G28" s="25" t="n"/>
    </row>
    <row r="29" ht="18" customHeight="1">
      <c r="A29" s="24" t="n"/>
      <c r="B29" s="24" t="n"/>
      <c r="C29" s="24" t="n"/>
      <c r="D29" s="24" t="n"/>
      <c r="E29" s="24" t="n"/>
      <c r="F29" s="24" t="n"/>
      <c r="G29" s="24" t="n"/>
    </row>
    <row r="30" ht="18" customHeight="1">
      <c r="A30" s="25" t="n"/>
      <c r="B30" s="25" t="n"/>
      <c r="C30" s="25" t="n"/>
      <c r="D30" s="25" t="n"/>
      <c r="E30" s="25" t="n"/>
      <c r="F30" s="25" t="n"/>
      <c r="G30" s="25" t="n"/>
    </row>
    <row r="31" ht="18" customHeight="1">
      <c r="A31" s="24" t="n"/>
      <c r="B31" s="24" t="n"/>
      <c r="C31" s="24" t="n"/>
      <c r="D31" s="24" t="n"/>
      <c r="E31" s="24" t="n"/>
      <c r="F31" s="24" t="n"/>
      <c r="G31" s="24" t="n"/>
    </row>
    <row r="32" ht="18" customHeight="1">
      <c r="A32" s="25" t="n"/>
      <c r="B32" s="25" t="n"/>
      <c r="C32" s="25" t="n"/>
      <c r="D32" s="25" t="n"/>
      <c r="E32" s="25" t="n"/>
      <c r="F32" s="25" t="n"/>
      <c r="G32" s="25" t="n"/>
    </row>
    <row r="33" ht="18" customHeight="1">
      <c r="A33" s="24" t="n"/>
      <c r="B33" s="24" t="n"/>
      <c r="C33" s="24" t="n"/>
      <c r="D33" s="24" t="n"/>
      <c r="E33" s="24" t="n"/>
      <c r="F33" s="24" t="n"/>
      <c r="G33" s="24" t="n"/>
    </row>
    <row r="34" ht="18" customHeight="1">
      <c r="A34" s="25" t="n"/>
      <c r="B34" s="25" t="n"/>
      <c r="C34" s="25" t="n"/>
      <c r="D34" s="25" t="n"/>
      <c r="E34" s="25" t="n"/>
      <c r="F34" s="25" t="n"/>
      <c r="G34" s="25" t="n"/>
    </row>
    <row r="35" ht="18" customHeight="1">
      <c r="A35" s="24" t="n"/>
      <c r="B35" s="24" t="n"/>
      <c r="C35" s="24" t="n"/>
      <c r="D35" s="24" t="n"/>
      <c r="E35" s="24" t="n"/>
      <c r="F35" s="24" t="n"/>
      <c r="G35" s="24" t="n"/>
    </row>
    <row r="36" ht="18" customHeight="1">
      <c r="A36" s="25" t="n"/>
      <c r="B36" s="25" t="n"/>
      <c r="C36" s="25" t="n"/>
      <c r="D36" s="25" t="n"/>
      <c r="E36" s="25" t="n"/>
      <c r="F36" s="25" t="n"/>
      <c r="G36" s="25" t="n"/>
    </row>
    <row r="37" ht="18" customHeight="1">
      <c r="A37" s="24" t="n"/>
      <c r="B37" s="24" t="n"/>
      <c r="C37" s="24" t="n"/>
      <c r="D37" s="24" t="n"/>
      <c r="E37" s="24" t="n"/>
      <c r="F37" s="24" t="n"/>
      <c r="G37" s="24" t="n"/>
    </row>
    <row r="38" ht="22" customHeight="1">
      <c r="A38" s="16" t="inlineStr">
        <is>
          <t>TOTAL VARIABLE</t>
        </is>
      </c>
      <c r="D38" s="17">
        <f>SUM(D13:D37)</f>
        <v/>
      </c>
      <c r="E38" s="17">
        <f>SUM(E13:E37)</f>
        <v/>
      </c>
      <c r="F38" s="18" t="n"/>
      <c r="G38" s="18" t="n"/>
    </row>
    <row r="39" ht="8" customHeight="1">
      <c r="A39" s="19" t="n"/>
      <c r="B39" s="19" t="n"/>
      <c r="C39" s="19" t="n"/>
      <c r="D39" s="19" t="n"/>
      <c r="E39" s="19" t="n"/>
      <c r="F39" s="19" t="n"/>
      <c r="G39" s="19" t="n"/>
    </row>
    <row r="40" ht="26" customHeight="1">
      <c r="A40" s="26" t="inlineStr">
        <is>
          <t>💰 BALANCE</t>
        </is>
      </c>
      <c r="D40" s="27">
        <f>D5-D9-D38</f>
        <v/>
      </c>
      <c r="E40" s="27">
        <f>E5-E9-E38</f>
        <v/>
      </c>
      <c r="F40" s="28" t="n"/>
      <c r="G40" s="28" t="n"/>
    </row>
  </sheetData>
  <mergeCells count="9">
    <mergeCell ref="A1:G1"/>
    <mergeCell ref="A5:C5"/>
    <mergeCell ref="A3:G3"/>
    <mergeCell ref="A40:C40"/>
    <mergeCell ref="A9:C9"/>
    <mergeCell ref="A2"/>
    <mergeCell ref="A7:G7"/>
    <mergeCell ref="A11:G11"/>
    <mergeCell ref="A38:C38"/>
  </mergeCells>
  <dataValidations count="2">
    <dataValidation sqref="F13:F37" showDropDown="0" showInputMessage="0" showErrorMessage="0" allowBlank="1" type="list">
      <formula1>"Food,Transport,Health,Utilities,Entertainment,Tax,Savings,Big Buy,Personal,Other"</formula1>
    </dataValidation>
    <dataValidation sqref="G13:G37" showDropDown="0" showInputMessage="0" showErrorMessage="0" allowBlank="1" type="list">
      <formula1>"Cash ARS,USD Cash,Wise,Binance,MercadoPago,Tarjeta"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2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 ht="30" customHeight="1">
      <c r="A1" s="1" t="inlineStr">
        <is>
          <t>💸 NOV 2024 — GASTOS MENSUALES</t>
        </is>
      </c>
    </row>
    <row r="2" ht="22" customHeight="1">
      <c r="A2" s="2" t="inlineStr">
        <is>
          <t>USD/ARS</t>
        </is>
      </c>
      <c r="B2" s="3" t="n">
        <v>1200</v>
      </c>
      <c r="C2" s="4" t="inlineStr">
        <is>
          <t>← update monthly</t>
        </is>
      </c>
      <c r="D2" s="5" t="n"/>
      <c r="E2" s="5" t="n"/>
      <c r="F2" s="5" t="n"/>
      <c r="G2" s="5" t="n"/>
    </row>
    <row r="3" ht="24" customHeight="1">
      <c r="A3" s="6" t="inlineStr">
        <is>
          <t>▲ INGRESOS</t>
        </is>
      </c>
    </row>
    <row r="4" ht="20" customHeight="1">
      <c r="A4" s="7" t="inlineStr">
        <is>
          <t>#</t>
        </is>
      </c>
      <c r="B4" s="7" t="inlineStr">
        <is>
          <t>Source</t>
        </is>
      </c>
      <c r="C4" s="7" t="inlineStr">
        <is>
          <t>Description</t>
        </is>
      </c>
      <c r="D4" s="7" t="inlineStr">
        <is>
          <t>ARS</t>
        </is>
      </c>
      <c r="E4" s="7" t="inlineStr">
        <is>
          <t>USD</t>
        </is>
      </c>
    </row>
    <row r="5" ht="22" customHeight="1">
      <c r="A5" s="16" t="inlineStr">
        <is>
          <t>TOTAL INGRESOS</t>
        </is>
      </c>
      <c r="D5" s="17">
        <f>SUM(D5:D4)</f>
        <v/>
      </c>
      <c r="E5" s="17">
        <f>SUM(E5:E4)</f>
        <v/>
      </c>
      <c r="F5" s="18" t="n"/>
      <c r="G5" s="18" t="n"/>
    </row>
    <row r="6" ht="8" customHeight="1">
      <c r="A6" s="19" t="n"/>
      <c r="B6" s="19" t="n"/>
      <c r="C6" s="19" t="n"/>
      <c r="D6" s="19" t="n"/>
      <c r="E6" s="19" t="n"/>
      <c r="F6" s="19" t="n"/>
      <c r="G6" s="19" t="n"/>
    </row>
    <row r="7" ht="24" customHeight="1">
      <c r="A7" s="20" t="inlineStr">
        <is>
          <t>▼ EGRESOS FIJOS</t>
        </is>
      </c>
    </row>
    <row r="8" ht="20" customHeight="1">
      <c r="A8" s="21" t="inlineStr">
        <is>
          <t>#</t>
        </is>
      </c>
      <c r="B8" s="21" t="inlineStr">
        <is>
          <t>Description</t>
        </is>
      </c>
      <c r="C8" s="21" t="inlineStr">
        <is>
          <t>ARS</t>
        </is>
      </c>
      <c r="D8" s="21" t="inlineStr">
        <is>
          <t>USD</t>
        </is>
      </c>
      <c r="E8" s="21" t="inlineStr">
        <is>
          <t>Status</t>
        </is>
      </c>
      <c r="F8" s="21" t="inlineStr"/>
      <c r="G8" s="21" t="inlineStr"/>
    </row>
    <row r="9" ht="22" customHeight="1">
      <c r="A9" s="16" t="inlineStr">
        <is>
          <t>TOTAL FIJOS</t>
        </is>
      </c>
      <c r="D9" s="17">
        <f>SUM(D9:D8)</f>
        <v/>
      </c>
      <c r="E9" s="17">
        <f>SUM(E9:E8)</f>
        <v/>
      </c>
      <c r="F9" s="18" t="n"/>
      <c r="G9" s="18" t="n"/>
    </row>
    <row r="10" ht="8" customHeight="1">
      <c r="A10" s="19" t="n"/>
      <c r="B10" s="19" t="n"/>
      <c r="C10" s="19" t="n"/>
      <c r="D10" s="19" t="n"/>
      <c r="E10" s="19" t="n"/>
      <c r="F10" s="19" t="n"/>
      <c r="G10" s="19" t="n"/>
    </row>
    <row r="11" ht="24" customHeight="1">
      <c r="A11" s="22" t="inlineStr">
        <is>
          <t>📋 GASTOS DEL MES</t>
        </is>
      </c>
    </row>
    <row r="12" ht="20" customHeight="1">
      <c r="A12" s="23" t="inlineStr">
        <is>
          <t>#</t>
        </is>
      </c>
      <c r="B12" s="23" t="inlineStr">
        <is>
          <t>Date</t>
        </is>
      </c>
      <c r="C12" s="23" t="inlineStr">
        <is>
          <t>Description</t>
        </is>
      </c>
      <c r="D12" s="23" t="inlineStr">
        <is>
          <t>ARS</t>
        </is>
      </c>
      <c r="E12" s="23" t="inlineStr">
        <is>
          <t>USD</t>
        </is>
      </c>
      <c r="F12" s="23" t="inlineStr">
        <is>
          <t>Category</t>
        </is>
      </c>
      <c r="G12" s="23" t="inlineStr">
        <is>
          <t>Payment</t>
        </is>
      </c>
    </row>
    <row r="13" ht="18" customHeight="1">
      <c r="A13" s="8" t="n">
        <v>1</v>
      </c>
      <c r="B13" s="8" t="inlineStr">
        <is>
          <t>16</t>
        </is>
      </c>
      <c r="C13" s="9" t="inlineStr">
        <is>
          <t>Psico</t>
        </is>
      </c>
      <c r="D13" s="10" t="n"/>
      <c r="E13" s="10" t="n">
        <v>15</v>
      </c>
      <c r="F13" s="9" t="inlineStr"/>
      <c r="G13" s="9" t="inlineStr"/>
    </row>
    <row r="14" ht="18" customHeight="1">
      <c r="A14" s="12" t="n">
        <v>2</v>
      </c>
      <c r="B14" s="12" t="inlineStr">
        <is>
          <t>18</t>
        </is>
      </c>
      <c r="C14" s="13" t="inlineStr">
        <is>
          <t>SUBE</t>
        </is>
      </c>
      <c r="D14" s="14" t="n">
        <v>5000</v>
      </c>
      <c r="E14" s="14">
        <f>IF(D14&gt;0,D14/B$2,"")</f>
        <v/>
      </c>
      <c r="F14" s="13" t="inlineStr"/>
      <c r="G14" s="13" t="inlineStr"/>
    </row>
    <row r="15" ht="18" customHeight="1">
      <c r="A15" s="8" t="n">
        <v>3</v>
      </c>
      <c r="B15" s="8" t="inlineStr">
        <is>
          <t>19</t>
        </is>
      </c>
      <c r="C15" s="9" t="inlineStr">
        <is>
          <t>Didi a ver a los bull</t>
        </is>
      </c>
      <c r="D15" s="10" t="n">
        <v>5590</v>
      </c>
      <c r="E15" s="10">
        <f>IF(D15&gt;0,D15/B$2,"")</f>
        <v/>
      </c>
      <c r="F15" s="9" t="inlineStr"/>
      <c r="G15" s="9" t="inlineStr"/>
    </row>
    <row r="16" ht="18" customHeight="1">
      <c r="A16" s="12" t="n">
        <v>4</v>
      </c>
      <c r="B16" s="12" t="inlineStr">
        <is>
          <t>20</t>
        </is>
      </c>
      <c r="C16" s="13" t="inlineStr">
        <is>
          <t>Almuerzo</t>
        </is>
      </c>
      <c r="D16" s="14" t="n">
        <v>3000</v>
      </c>
      <c r="E16" s="14">
        <f>IF(D16&gt;0,D16/B$2,"")</f>
        <v/>
      </c>
      <c r="F16" s="13" t="inlineStr"/>
      <c r="G16" s="13" t="inlineStr"/>
    </row>
    <row r="17" ht="18" customHeight="1">
      <c r="A17" s="8" t="n">
        <v>5</v>
      </c>
      <c r="B17" s="8" t="inlineStr">
        <is>
          <t>25</t>
        </is>
      </c>
      <c r="C17" s="9" t="inlineStr">
        <is>
          <t>Comida</t>
        </is>
      </c>
      <c r="D17" s="10" t="n">
        <v>4000</v>
      </c>
      <c r="E17" s="10">
        <f>IF(D17&gt;0,D17/B$2,"")</f>
        <v/>
      </c>
      <c r="F17" s="9" t="inlineStr"/>
      <c r="G17" s="9" t="inlineStr"/>
    </row>
    <row r="18" ht="18" customHeight="1">
      <c r="A18" s="25" t="n"/>
      <c r="B18" s="25" t="n"/>
      <c r="C18" s="25" t="n"/>
      <c r="D18" s="25" t="n"/>
      <c r="E18" s="25" t="n"/>
      <c r="F18" s="25" t="n"/>
      <c r="G18" s="25" t="n"/>
    </row>
    <row r="19" ht="18" customHeight="1">
      <c r="A19" s="24" t="n"/>
      <c r="B19" s="24" t="n"/>
      <c r="C19" s="24" t="n"/>
      <c r="D19" s="24" t="n"/>
      <c r="E19" s="24" t="n"/>
      <c r="F19" s="24" t="n"/>
      <c r="G19" s="24" t="n"/>
    </row>
    <row r="20" ht="18" customHeight="1">
      <c r="A20" s="25" t="n"/>
      <c r="B20" s="25" t="n"/>
      <c r="C20" s="25" t="n"/>
      <c r="D20" s="25" t="n"/>
      <c r="E20" s="25" t="n"/>
      <c r="F20" s="25" t="n"/>
      <c r="G20" s="25" t="n"/>
    </row>
    <row r="21" ht="18" customHeight="1">
      <c r="A21" s="24" t="n"/>
      <c r="B21" s="24" t="n"/>
      <c r="C21" s="24" t="n"/>
      <c r="D21" s="24" t="n"/>
      <c r="E21" s="24" t="n"/>
      <c r="F21" s="24" t="n"/>
      <c r="G21" s="24" t="n"/>
    </row>
    <row r="22" ht="18" customHeight="1">
      <c r="A22" s="25" t="n"/>
      <c r="B22" s="25" t="n"/>
      <c r="C22" s="25" t="n"/>
      <c r="D22" s="25" t="n"/>
      <c r="E22" s="25" t="n"/>
      <c r="F22" s="25" t="n"/>
      <c r="G22" s="25" t="n"/>
    </row>
    <row r="23" ht="18" customHeight="1">
      <c r="A23" s="24" t="n"/>
      <c r="B23" s="24" t="n"/>
      <c r="C23" s="24" t="n"/>
      <c r="D23" s="24" t="n"/>
      <c r="E23" s="24" t="n"/>
      <c r="F23" s="24" t="n"/>
      <c r="G23" s="24" t="n"/>
    </row>
    <row r="24" ht="18" customHeight="1">
      <c r="A24" s="25" t="n"/>
      <c r="B24" s="25" t="n"/>
      <c r="C24" s="25" t="n"/>
      <c r="D24" s="25" t="n"/>
      <c r="E24" s="25" t="n"/>
      <c r="F24" s="25" t="n"/>
      <c r="G24" s="25" t="n"/>
    </row>
    <row r="25" ht="18" customHeight="1">
      <c r="A25" s="24" t="n"/>
      <c r="B25" s="24" t="n"/>
      <c r="C25" s="24" t="n"/>
      <c r="D25" s="24" t="n"/>
      <c r="E25" s="24" t="n"/>
      <c r="F25" s="24" t="n"/>
      <c r="G25" s="24" t="n"/>
    </row>
    <row r="26" ht="18" customHeight="1">
      <c r="A26" s="25" t="n"/>
      <c r="B26" s="25" t="n"/>
      <c r="C26" s="25" t="n"/>
      <c r="D26" s="25" t="n"/>
      <c r="E26" s="25" t="n"/>
      <c r="F26" s="25" t="n"/>
      <c r="G26" s="25" t="n"/>
    </row>
    <row r="27" ht="18" customHeight="1">
      <c r="A27" s="24" t="n"/>
      <c r="B27" s="24" t="n"/>
      <c r="C27" s="24" t="n"/>
      <c r="D27" s="24" t="n"/>
      <c r="E27" s="24" t="n"/>
      <c r="F27" s="24" t="n"/>
      <c r="G27" s="24" t="n"/>
    </row>
    <row r="28" ht="18" customHeight="1">
      <c r="A28" s="25" t="n"/>
      <c r="B28" s="25" t="n"/>
      <c r="C28" s="25" t="n"/>
      <c r="D28" s="25" t="n"/>
      <c r="E28" s="25" t="n"/>
      <c r="F28" s="25" t="n"/>
      <c r="G28" s="25" t="n"/>
    </row>
    <row r="29" ht="18" customHeight="1">
      <c r="A29" s="24" t="n"/>
      <c r="B29" s="24" t="n"/>
      <c r="C29" s="24" t="n"/>
      <c r="D29" s="24" t="n"/>
      <c r="E29" s="24" t="n"/>
      <c r="F29" s="24" t="n"/>
      <c r="G29" s="24" t="n"/>
    </row>
    <row r="30" ht="18" customHeight="1">
      <c r="A30" s="25" t="n"/>
      <c r="B30" s="25" t="n"/>
      <c r="C30" s="25" t="n"/>
      <c r="D30" s="25" t="n"/>
      <c r="E30" s="25" t="n"/>
      <c r="F30" s="25" t="n"/>
      <c r="G30" s="25" t="n"/>
    </row>
    <row r="31" ht="18" customHeight="1">
      <c r="A31" s="24" t="n"/>
      <c r="B31" s="24" t="n"/>
      <c r="C31" s="24" t="n"/>
      <c r="D31" s="24" t="n"/>
      <c r="E31" s="24" t="n"/>
      <c r="F31" s="24" t="n"/>
      <c r="G31" s="24" t="n"/>
    </row>
    <row r="32" ht="18" customHeight="1">
      <c r="A32" s="25" t="n"/>
      <c r="B32" s="25" t="n"/>
      <c r="C32" s="25" t="n"/>
      <c r="D32" s="25" t="n"/>
      <c r="E32" s="25" t="n"/>
      <c r="F32" s="25" t="n"/>
      <c r="G32" s="25" t="n"/>
    </row>
    <row r="33" ht="18" customHeight="1">
      <c r="A33" s="24" t="n"/>
      <c r="B33" s="24" t="n"/>
      <c r="C33" s="24" t="n"/>
      <c r="D33" s="24" t="n"/>
      <c r="E33" s="24" t="n"/>
      <c r="F33" s="24" t="n"/>
      <c r="G33" s="24" t="n"/>
    </row>
    <row r="34" ht="18" customHeight="1">
      <c r="A34" s="25" t="n"/>
      <c r="B34" s="25" t="n"/>
      <c r="C34" s="25" t="n"/>
      <c r="D34" s="25" t="n"/>
      <c r="E34" s="25" t="n"/>
      <c r="F34" s="25" t="n"/>
      <c r="G34" s="25" t="n"/>
    </row>
    <row r="35" ht="18" customHeight="1">
      <c r="A35" s="24" t="n"/>
      <c r="B35" s="24" t="n"/>
      <c r="C35" s="24" t="n"/>
      <c r="D35" s="24" t="n"/>
      <c r="E35" s="24" t="n"/>
      <c r="F35" s="24" t="n"/>
      <c r="G35" s="24" t="n"/>
    </row>
    <row r="36" ht="18" customHeight="1">
      <c r="A36" s="25" t="n"/>
      <c r="B36" s="25" t="n"/>
      <c r="C36" s="25" t="n"/>
      <c r="D36" s="25" t="n"/>
      <c r="E36" s="25" t="n"/>
      <c r="F36" s="25" t="n"/>
      <c r="G36" s="25" t="n"/>
    </row>
    <row r="37" ht="18" customHeight="1">
      <c r="A37" s="24" t="n"/>
      <c r="B37" s="24" t="n"/>
      <c r="C37" s="24" t="n"/>
      <c r="D37" s="24" t="n"/>
      <c r="E37" s="24" t="n"/>
      <c r="F37" s="24" t="n"/>
      <c r="G37" s="24" t="n"/>
    </row>
    <row r="38" ht="22" customHeight="1">
      <c r="A38" s="16" t="inlineStr">
        <is>
          <t>TOTAL VARIABLE</t>
        </is>
      </c>
      <c r="D38" s="17">
        <f>SUM(D13:D37)</f>
        <v/>
      </c>
      <c r="E38" s="17">
        <f>SUM(E13:E37)</f>
        <v/>
      </c>
      <c r="F38" s="18" t="n"/>
      <c r="G38" s="18" t="n"/>
    </row>
    <row r="39" ht="8" customHeight="1">
      <c r="A39" s="19" t="n"/>
      <c r="B39" s="19" t="n"/>
      <c r="C39" s="19" t="n"/>
      <c r="D39" s="19" t="n"/>
      <c r="E39" s="19" t="n"/>
      <c r="F39" s="19" t="n"/>
      <c r="G39" s="19" t="n"/>
    </row>
    <row r="40" ht="26" customHeight="1">
      <c r="A40" s="26" t="inlineStr">
        <is>
          <t>💰 BALANCE</t>
        </is>
      </c>
      <c r="D40" s="27">
        <f>D5-D9-D38</f>
        <v/>
      </c>
      <c r="E40" s="27">
        <f>E5-E9-E38</f>
        <v/>
      </c>
      <c r="F40" s="28" t="n"/>
      <c r="G40" s="28" t="n"/>
    </row>
  </sheetData>
  <mergeCells count="9">
    <mergeCell ref="A1:G1"/>
    <mergeCell ref="A5:C5"/>
    <mergeCell ref="A3:G3"/>
    <mergeCell ref="A40:C40"/>
    <mergeCell ref="A9:C9"/>
    <mergeCell ref="A2"/>
    <mergeCell ref="A7:G7"/>
    <mergeCell ref="A11:G11"/>
    <mergeCell ref="A38:C38"/>
  </mergeCells>
  <dataValidations count="2">
    <dataValidation sqref="F13:F37" showDropDown="0" showInputMessage="0" showErrorMessage="0" allowBlank="1" type="list">
      <formula1>"Food,Transport,Health,Utilities,Entertainment,Tax,Savings,Big Buy,Personal,Other"</formula1>
    </dataValidation>
    <dataValidation sqref="G13:G37" showDropDown="0" showInputMessage="0" showErrorMessage="0" allowBlank="1" type="list">
      <formula1>"Cash ARS,USD Cash,Wise,Binance,MercadoPago,Tarjeta"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2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 ht="30" customHeight="1">
      <c r="A1" s="1" t="inlineStr">
        <is>
          <t>💸 DEC 2024 — GASTOS MENSUALES</t>
        </is>
      </c>
    </row>
    <row r="2" ht="22" customHeight="1">
      <c r="A2" s="2" t="inlineStr">
        <is>
          <t>USD/ARS</t>
        </is>
      </c>
      <c r="B2" s="3" t="n">
        <v>1200</v>
      </c>
      <c r="C2" s="4" t="inlineStr">
        <is>
          <t>← update monthly</t>
        </is>
      </c>
      <c r="D2" s="5" t="n"/>
      <c r="E2" s="5" t="n"/>
      <c r="F2" s="5" t="n"/>
      <c r="G2" s="5" t="n"/>
    </row>
    <row r="3" ht="24" customHeight="1">
      <c r="A3" s="6" t="inlineStr">
        <is>
          <t>▲ INGRESOS</t>
        </is>
      </c>
    </row>
    <row r="4" ht="20" customHeight="1">
      <c r="A4" s="7" t="inlineStr">
        <is>
          <t>#</t>
        </is>
      </c>
      <c r="B4" s="7" t="inlineStr">
        <is>
          <t>Source</t>
        </is>
      </c>
      <c r="C4" s="7" t="inlineStr">
        <is>
          <t>Description</t>
        </is>
      </c>
      <c r="D4" s="7" t="inlineStr">
        <is>
          <t>ARS</t>
        </is>
      </c>
      <c r="E4" s="7" t="inlineStr">
        <is>
          <t>USD</t>
        </is>
      </c>
    </row>
    <row r="5" ht="22" customHeight="1">
      <c r="A5" s="16" t="inlineStr">
        <is>
          <t>TOTAL INGRESOS</t>
        </is>
      </c>
      <c r="D5" s="17">
        <f>SUM(D5:D4)</f>
        <v/>
      </c>
      <c r="E5" s="17">
        <f>SUM(E5:E4)</f>
        <v/>
      </c>
      <c r="F5" s="18" t="n"/>
      <c r="G5" s="18" t="n"/>
    </row>
    <row r="6" ht="8" customHeight="1">
      <c r="A6" s="19" t="n"/>
      <c r="B6" s="19" t="n"/>
      <c r="C6" s="19" t="n"/>
      <c r="D6" s="19" t="n"/>
      <c r="E6" s="19" t="n"/>
      <c r="F6" s="19" t="n"/>
      <c r="G6" s="19" t="n"/>
    </row>
    <row r="7" ht="24" customHeight="1">
      <c r="A7" s="20" t="inlineStr">
        <is>
          <t>▼ EGRESOS FIJOS</t>
        </is>
      </c>
    </row>
    <row r="8" ht="20" customHeight="1">
      <c r="A8" s="21" t="inlineStr">
        <is>
          <t>#</t>
        </is>
      </c>
      <c r="B8" s="21" t="inlineStr">
        <is>
          <t>Description</t>
        </is>
      </c>
      <c r="C8" s="21" t="inlineStr">
        <is>
          <t>ARS</t>
        </is>
      </c>
      <c r="D8" s="21" t="inlineStr">
        <is>
          <t>USD</t>
        </is>
      </c>
      <c r="E8" s="21" t="inlineStr">
        <is>
          <t>Status</t>
        </is>
      </c>
      <c r="F8" s="21" t="inlineStr"/>
      <c r="G8" s="21" t="inlineStr"/>
    </row>
    <row r="9" ht="22" customHeight="1">
      <c r="A9" s="16" t="inlineStr">
        <is>
          <t>TOTAL FIJOS</t>
        </is>
      </c>
      <c r="D9" s="17">
        <f>SUM(D9:D8)</f>
        <v/>
      </c>
      <c r="E9" s="17">
        <f>SUM(E9:E8)</f>
        <v/>
      </c>
      <c r="F9" s="18" t="n"/>
      <c r="G9" s="18" t="n"/>
    </row>
    <row r="10" ht="8" customHeight="1">
      <c r="A10" s="19" t="n"/>
      <c r="B10" s="19" t="n"/>
      <c r="C10" s="19" t="n"/>
      <c r="D10" s="19" t="n"/>
      <c r="E10" s="19" t="n"/>
      <c r="F10" s="19" t="n"/>
      <c r="G10" s="19" t="n"/>
    </row>
    <row r="11" ht="24" customHeight="1">
      <c r="A11" s="22" t="inlineStr">
        <is>
          <t>📋 GASTOS DEL MES</t>
        </is>
      </c>
    </row>
    <row r="12" ht="20" customHeight="1">
      <c r="A12" s="23" t="inlineStr">
        <is>
          <t>#</t>
        </is>
      </c>
      <c r="B12" s="23" t="inlineStr">
        <is>
          <t>Date</t>
        </is>
      </c>
      <c r="C12" s="23" t="inlineStr">
        <is>
          <t>Description</t>
        </is>
      </c>
      <c r="D12" s="23" t="inlineStr">
        <is>
          <t>ARS</t>
        </is>
      </c>
      <c r="E12" s="23" t="inlineStr">
        <is>
          <t>USD</t>
        </is>
      </c>
      <c r="F12" s="23" t="inlineStr">
        <is>
          <t>Category</t>
        </is>
      </c>
      <c r="G12" s="23" t="inlineStr">
        <is>
          <t>Payment</t>
        </is>
      </c>
    </row>
    <row r="13" ht="18" customHeight="1">
      <c r="A13" s="8" t="n">
        <v>1</v>
      </c>
      <c r="B13" s="8" t="inlineStr">
        <is>
          <t>11</t>
        </is>
      </c>
      <c r="C13" s="9" t="inlineStr">
        <is>
          <t>Sanguche</t>
        </is>
      </c>
      <c r="D13" s="10" t="n">
        <v>7500</v>
      </c>
      <c r="E13" s="10">
        <f>IF(D13&gt;0,D13/B$2,"")</f>
        <v/>
      </c>
      <c r="F13" s="9" t="inlineStr"/>
      <c r="G13" s="9" t="inlineStr"/>
    </row>
    <row r="14" ht="18" customHeight="1">
      <c r="A14" s="12" t="n">
        <v>2</v>
      </c>
      <c r="B14" s="12" t="inlineStr">
        <is>
          <t>12</t>
        </is>
      </c>
      <c r="C14" s="13" t="inlineStr">
        <is>
          <t>Tognis FIFA</t>
        </is>
      </c>
      <c r="D14" s="14" t="n">
        <v>15000</v>
      </c>
      <c r="E14" s="14">
        <f>IF(D14&gt;0,D14/B$2,"")</f>
        <v/>
      </c>
      <c r="F14" s="13" t="inlineStr"/>
      <c r="G14" s="13" t="inlineStr"/>
    </row>
    <row r="15" ht="18" customHeight="1">
      <c r="A15" s="8" t="n">
        <v>3</v>
      </c>
      <c r="B15" s="8" t="inlineStr">
        <is>
          <t>13</t>
        </is>
      </c>
      <c r="C15" s="9" t="inlineStr">
        <is>
          <t>Didi FIFA</t>
        </is>
      </c>
      <c r="D15" s="10" t="n">
        <v>10000</v>
      </c>
      <c r="E15" s="10">
        <f>IF(D15&gt;0,D15/B$2,"")</f>
        <v/>
      </c>
      <c r="F15" s="9" t="inlineStr"/>
      <c r="G15" s="9" t="inlineStr"/>
    </row>
    <row r="16" ht="18" customHeight="1">
      <c r="A16" s="12" t="n">
        <v>4</v>
      </c>
      <c r="B16" s="12" t="inlineStr">
        <is>
          <t>14</t>
        </is>
      </c>
      <c r="C16" s="13" t="inlineStr">
        <is>
          <t>Comida</t>
        </is>
      </c>
      <c r="D16" s="14" t="n">
        <v>5000</v>
      </c>
      <c r="E16" s="14">
        <f>IF(D16&gt;0,D16/B$2,"")</f>
        <v/>
      </c>
      <c r="F16" s="13" t="inlineStr"/>
      <c r="G16" s="13" t="inlineStr"/>
    </row>
    <row r="17" ht="18" customHeight="1">
      <c r="A17" s="8" t="n">
        <v>5</v>
      </c>
      <c r="B17" s="8" t="inlineStr">
        <is>
          <t>20</t>
        </is>
      </c>
      <c r="C17" s="9" t="inlineStr">
        <is>
          <t>Kiosco</t>
        </is>
      </c>
      <c r="D17" s="10" t="n">
        <v>3000</v>
      </c>
      <c r="E17" s="10">
        <f>IF(D17&gt;0,D17/B$2,"")</f>
        <v/>
      </c>
      <c r="F17" s="9" t="inlineStr"/>
      <c r="G17" s="9" t="inlineStr"/>
    </row>
    <row r="18" ht="18" customHeight="1">
      <c r="A18" s="25" t="n"/>
      <c r="B18" s="25" t="n"/>
      <c r="C18" s="25" t="n"/>
      <c r="D18" s="25" t="n"/>
      <c r="E18" s="25" t="n"/>
      <c r="F18" s="25" t="n"/>
      <c r="G18" s="25" t="n"/>
    </row>
    <row r="19" ht="18" customHeight="1">
      <c r="A19" s="24" t="n"/>
      <c r="B19" s="24" t="n"/>
      <c r="C19" s="24" t="n"/>
      <c r="D19" s="24" t="n"/>
      <c r="E19" s="24" t="n"/>
      <c r="F19" s="24" t="n"/>
      <c r="G19" s="24" t="n"/>
    </row>
    <row r="20" ht="18" customHeight="1">
      <c r="A20" s="25" t="n"/>
      <c r="B20" s="25" t="n"/>
      <c r="C20" s="25" t="n"/>
      <c r="D20" s="25" t="n"/>
      <c r="E20" s="25" t="n"/>
      <c r="F20" s="25" t="n"/>
      <c r="G20" s="25" t="n"/>
    </row>
    <row r="21" ht="18" customHeight="1">
      <c r="A21" s="24" t="n"/>
      <c r="B21" s="24" t="n"/>
      <c r="C21" s="24" t="n"/>
      <c r="D21" s="24" t="n"/>
      <c r="E21" s="24" t="n"/>
      <c r="F21" s="24" t="n"/>
      <c r="G21" s="24" t="n"/>
    </row>
    <row r="22" ht="18" customHeight="1">
      <c r="A22" s="25" t="n"/>
      <c r="B22" s="25" t="n"/>
      <c r="C22" s="25" t="n"/>
      <c r="D22" s="25" t="n"/>
      <c r="E22" s="25" t="n"/>
      <c r="F22" s="25" t="n"/>
      <c r="G22" s="25" t="n"/>
    </row>
    <row r="23" ht="18" customHeight="1">
      <c r="A23" s="24" t="n"/>
      <c r="B23" s="24" t="n"/>
      <c r="C23" s="24" t="n"/>
      <c r="D23" s="24" t="n"/>
      <c r="E23" s="24" t="n"/>
      <c r="F23" s="24" t="n"/>
      <c r="G23" s="24" t="n"/>
    </row>
    <row r="24" ht="18" customHeight="1">
      <c r="A24" s="25" t="n"/>
      <c r="B24" s="25" t="n"/>
      <c r="C24" s="25" t="n"/>
      <c r="D24" s="25" t="n"/>
      <c r="E24" s="25" t="n"/>
      <c r="F24" s="25" t="n"/>
      <c r="G24" s="25" t="n"/>
    </row>
    <row r="25" ht="18" customHeight="1">
      <c r="A25" s="24" t="n"/>
      <c r="B25" s="24" t="n"/>
      <c r="C25" s="24" t="n"/>
      <c r="D25" s="24" t="n"/>
      <c r="E25" s="24" t="n"/>
      <c r="F25" s="24" t="n"/>
      <c r="G25" s="24" t="n"/>
    </row>
    <row r="26" ht="18" customHeight="1">
      <c r="A26" s="25" t="n"/>
      <c r="B26" s="25" t="n"/>
      <c r="C26" s="25" t="n"/>
      <c r="D26" s="25" t="n"/>
      <c r="E26" s="25" t="n"/>
      <c r="F26" s="25" t="n"/>
      <c r="G26" s="25" t="n"/>
    </row>
    <row r="27" ht="18" customHeight="1">
      <c r="A27" s="24" t="n"/>
      <c r="B27" s="24" t="n"/>
      <c r="C27" s="24" t="n"/>
      <c r="D27" s="24" t="n"/>
      <c r="E27" s="24" t="n"/>
      <c r="F27" s="24" t="n"/>
      <c r="G27" s="24" t="n"/>
    </row>
    <row r="28" ht="18" customHeight="1">
      <c r="A28" s="25" t="n"/>
      <c r="B28" s="25" t="n"/>
      <c r="C28" s="25" t="n"/>
      <c r="D28" s="25" t="n"/>
      <c r="E28" s="25" t="n"/>
      <c r="F28" s="25" t="n"/>
      <c r="G28" s="25" t="n"/>
    </row>
    <row r="29" ht="18" customHeight="1">
      <c r="A29" s="24" t="n"/>
      <c r="B29" s="24" t="n"/>
      <c r="C29" s="24" t="n"/>
      <c r="D29" s="24" t="n"/>
      <c r="E29" s="24" t="n"/>
      <c r="F29" s="24" t="n"/>
      <c r="G29" s="24" t="n"/>
    </row>
    <row r="30" ht="18" customHeight="1">
      <c r="A30" s="25" t="n"/>
      <c r="B30" s="25" t="n"/>
      <c r="C30" s="25" t="n"/>
      <c r="D30" s="25" t="n"/>
      <c r="E30" s="25" t="n"/>
      <c r="F30" s="25" t="n"/>
      <c r="G30" s="25" t="n"/>
    </row>
    <row r="31" ht="18" customHeight="1">
      <c r="A31" s="24" t="n"/>
      <c r="B31" s="24" t="n"/>
      <c r="C31" s="24" t="n"/>
      <c r="D31" s="24" t="n"/>
      <c r="E31" s="24" t="n"/>
      <c r="F31" s="24" t="n"/>
      <c r="G31" s="24" t="n"/>
    </row>
    <row r="32" ht="18" customHeight="1">
      <c r="A32" s="25" t="n"/>
      <c r="B32" s="25" t="n"/>
      <c r="C32" s="25" t="n"/>
      <c r="D32" s="25" t="n"/>
      <c r="E32" s="25" t="n"/>
      <c r="F32" s="25" t="n"/>
      <c r="G32" s="25" t="n"/>
    </row>
    <row r="33" ht="18" customHeight="1">
      <c r="A33" s="24" t="n"/>
      <c r="B33" s="24" t="n"/>
      <c r="C33" s="24" t="n"/>
      <c r="D33" s="24" t="n"/>
      <c r="E33" s="24" t="n"/>
      <c r="F33" s="24" t="n"/>
      <c r="G33" s="24" t="n"/>
    </row>
    <row r="34" ht="18" customHeight="1">
      <c r="A34" s="25" t="n"/>
      <c r="B34" s="25" t="n"/>
      <c r="C34" s="25" t="n"/>
      <c r="D34" s="25" t="n"/>
      <c r="E34" s="25" t="n"/>
      <c r="F34" s="25" t="n"/>
      <c r="G34" s="25" t="n"/>
    </row>
    <row r="35" ht="18" customHeight="1">
      <c r="A35" s="24" t="n"/>
      <c r="B35" s="24" t="n"/>
      <c r="C35" s="24" t="n"/>
      <c r="D35" s="24" t="n"/>
      <c r="E35" s="24" t="n"/>
      <c r="F35" s="24" t="n"/>
      <c r="G35" s="24" t="n"/>
    </row>
    <row r="36" ht="18" customHeight="1">
      <c r="A36" s="25" t="n"/>
      <c r="B36" s="25" t="n"/>
      <c r="C36" s="25" t="n"/>
      <c r="D36" s="25" t="n"/>
      <c r="E36" s="25" t="n"/>
      <c r="F36" s="25" t="n"/>
      <c r="G36" s="25" t="n"/>
    </row>
    <row r="37" ht="18" customHeight="1">
      <c r="A37" s="24" t="n"/>
      <c r="B37" s="24" t="n"/>
      <c r="C37" s="24" t="n"/>
      <c r="D37" s="24" t="n"/>
      <c r="E37" s="24" t="n"/>
      <c r="F37" s="24" t="n"/>
      <c r="G37" s="24" t="n"/>
    </row>
    <row r="38" ht="22" customHeight="1">
      <c r="A38" s="16" t="inlineStr">
        <is>
          <t>TOTAL VARIABLE</t>
        </is>
      </c>
      <c r="D38" s="17">
        <f>SUM(D13:D37)</f>
        <v/>
      </c>
      <c r="E38" s="17">
        <f>SUM(E13:E37)</f>
        <v/>
      </c>
      <c r="F38" s="18" t="n"/>
      <c r="G38" s="18" t="n"/>
    </row>
    <row r="39" ht="8" customHeight="1">
      <c r="A39" s="19" t="n"/>
      <c r="B39" s="19" t="n"/>
      <c r="C39" s="19" t="n"/>
      <c r="D39" s="19" t="n"/>
      <c r="E39" s="19" t="n"/>
      <c r="F39" s="19" t="n"/>
      <c r="G39" s="19" t="n"/>
    </row>
    <row r="40" ht="26" customHeight="1">
      <c r="A40" s="26" t="inlineStr">
        <is>
          <t>💰 BALANCE</t>
        </is>
      </c>
      <c r="D40" s="27">
        <f>D5-D9-D38</f>
        <v/>
      </c>
      <c r="E40" s="27">
        <f>E5-E9-E38</f>
        <v/>
      </c>
      <c r="F40" s="28" t="n"/>
      <c r="G40" s="28" t="n"/>
    </row>
  </sheetData>
  <mergeCells count="9">
    <mergeCell ref="A1:G1"/>
    <mergeCell ref="A5:C5"/>
    <mergeCell ref="A3:G3"/>
    <mergeCell ref="A40:C40"/>
    <mergeCell ref="A9:C9"/>
    <mergeCell ref="A2"/>
    <mergeCell ref="A7:G7"/>
    <mergeCell ref="A11:G11"/>
    <mergeCell ref="A38:C38"/>
  </mergeCells>
  <dataValidations count="2">
    <dataValidation sqref="F13:F37" showDropDown="0" showInputMessage="0" showErrorMessage="0" allowBlank="1" type="list">
      <formula1>"Food,Transport,Health,Utilities,Entertainment,Tax,Savings,Big Buy,Personal,Other"</formula1>
    </dataValidation>
    <dataValidation sqref="G13:G37" showDropDown="0" showInputMessage="0" showErrorMessage="0" allowBlank="1" type="list">
      <formula1>"Cash ARS,USD Cash,Wise,Binance,MercadoPago,Tarjeta"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2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 ht="30" customHeight="1">
      <c r="A1" s="1" t="inlineStr">
        <is>
          <t>💸 JAN 2025 — GASTOS MENSUALES</t>
        </is>
      </c>
    </row>
    <row r="2" ht="22" customHeight="1">
      <c r="A2" s="2" t="inlineStr">
        <is>
          <t>USD/ARS</t>
        </is>
      </c>
      <c r="B2" s="3" t="n">
        <v>1100</v>
      </c>
      <c r="C2" s="4" t="inlineStr">
        <is>
          <t>← update monthly</t>
        </is>
      </c>
      <c r="D2" s="5" t="n"/>
      <c r="E2" s="5" t="n"/>
      <c r="F2" s="5" t="n"/>
      <c r="G2" s="5" t="n"/>
    </row>
    <row r="3" ht="24" customHeight="1">
      <c r="A3" s="6" t="inlineStr">
        <is>
          <t>▲ INGRESOS</t>
        </is>
      </c>
    </row>
    <row r="4" ht="20" customHeight="1">
      <c r="A4" s="7" t="inlineStr">
        <is>
          <t>#</t>
        </is>
      </c>
      <c r="B4" s="7" t="inlineStr">
        <is>
          <t>Source</t>
        </is>
      </c>
      <c r="C4" s="7" t="inlineStr">
        <is>
          <t>Description</t>
        </is>
      </c>
      <c r="D4" s="7" t="inlineStr">
        <is>
          <t>ARS</t>
        </is>
      </c>
      <c r="E4" s="7" t="inlineStr">
        <is>
          <t>USD</t>
        </is>
      </c>
    </row>
    <row r="5" ht="22" customHeight="1">
      <c r="A5" s="16" t="inlineStr">
        <is>
          <t>TOTAL INGRESOS</t>
        </is>
      </c>
      <c r="D5" s="17">
        <f>SUM(D5:D4)</f>
        <v/>
      </c>
      <c r="E5" s="17">
        <f>SUM(E5:E4)</f>
        <v/>
      </c>
      <c r="F5" s="18" t="n"/>
      <c r="G5" s="18" t="n"/>
    </row>
    <row r="6" ht="8" customHeight="1">
      <c r="A6" s="19" t="n"/>
      <c r="B6" s="19" t="n"/>
      <c r="C6" s="19" t="n"/>
      <c r="D6" s="19" t="n"/>
      <c r="E6" s="19" t="n"/>
      <c r="F6" s="19" t="n"/>
      <c r="G6" s="19" t="n"/>
    </row>
    <row r="7" ht="24" customHeight="1">
      <c r="A7" s="20" t="inlineStr">
        <is>
          <t>▼ EGRESOS FIJOS</t>
        </is>
      </c>
    </row>
    <row r="8" ht="20" customHeight="1">
      <c r="A8" s="21" t="inlineStr">
        <is>
          <t>#</t>
        </is>
      </c>
      <c r="B8" s="21" t="inlineStr">
        <is>
          <t>Description</t>
        </is>
      </c>
      <c r="C8" s="21" t="inlineStr">
        <is>
          <t>ARS</t>
        </is>
      </c>
      <c r="D8" s="21" t="inlineStr">
        <is>
          <t>USD</t>
        </is>
      </c>
      <c r="E8" s="21" t="inlineStr">
        <is>
          <t>Status</t>
        </is>
      </c>
      <c r="F8" s="21" t="inlineStr"/>
      <c r="G8" s="21" t="inlineStr"/>
    </row>
    <row r="9" ht="22" customHeight="1">
      <c r="A9" s="16" t="inlineStr">
        <is>
          <t>TOTAL FIJOS</t>
        </is>
      </c>
      <c r="D9" s="17">
        <f>SUM(D9:D8)</f>
        <v/>
      </c>
      <c r="E9" s="17">
        <f>SUM(E9:E8)</f>
        <v/>
      </c>
      <c r="F9" s="18" t="n"/>
      <c r="G9" s="18" t="n"/>
    </row>
    <row r="10" ht="8" customHeight="1">
      <c r="A10" s="19" t="n"/>
      <c r="B10" s="19" t="n"/>
      <c r="C10" s="19" t="n"/>
      <c r="D10" s="19" t="n"/>
      <c r="E10" s="19" t="n"/>
      <c r="F10" s="19" t="n"/>
      <c r="G10" s="19" t="n"/>
    </row>
    <row r="11" ht="24" customHeight="1">
      <c r="A11" s="22" t="inlineStr">
        <is>
          <t>📋 GASTOS DEL MES</t>
        </is>
      </c>
    </row>
    <row r="12" ht="20" customHeight="1">
      <c r="A12" s="23" t="inlineStr">
        <is>
          <t>#</t>
        </is>
      </c>
      <c r="B12" s="23" t="inlineStr">
        <is>
          <t>Date</t>
        </is>
      </c>
      <c r="C12" s="23" t="inlineStr">
        <is>
          <t>Description</t>
        </is>
      </c>
      <c r="D12" s="23" t="inlineStr">
        <is>
          <t>ARS</t>
        </is>
      </c>
      <c r="E12" s="23" t="inlineStr">
        <is>
          <t>USD</t>
        </is>
      </c>
      <c r="F12" s="23" t="inlineStr">
        <is>
          <t>Category</t>
        </is>
      </c>
      <c r="G12" s="23" t="inlineStr">
        <is>
          <t>Payment</t>
        </is>
      </c>
    </row>
    <row r="13" ht="18" customHeight="1">
      <c r="A13" s="8" t="n">
        <v>1</v>
      </c>
      <c r="B13" s="8" t="inlineStr">
        <is>
          <t>02</t>
        </is>
      </c>
      <c r="C13" s="9" t="inlineStr">
        <is>
          <t>Rapanui</t>
        </is>
      </c>
      <c r="D13" s="10" t="n">
        <v>6000</v>
      </c>
      <c r="E13" s="10">
        <f>IF(D13&gt;0,D13/B$2,"")</f>
        <v/>
      </c>
      <c r="F13" s="9" t="inlineStr"/>
      <c r="G13" s="9" t="inlineStr"/>
    </row>
    <row r="14" ht="18" customHeight="1">
      <c r="A14" s="12" t="n">
        <v>2</v>
      </c>
      <c r="B14" s="12" t="inlineStr">
        <is>
          <t>03</t>
        </is>
      </c>
      <c r="C14" s="13" t="inlineStr">
        <is>
          <t>Didi</t>
        </is>
      </c>
      <c r="D14" s="14" t="n">
        <v>4800</v>
      </c>
      <c r="E14" s="14">
        <f>IF(D14&gt;0,D14/B$2,"")</f>
        <v/>
      </c>
      <c r="F14" s="13" t="inlineStr"/>
      <c r="G14" s="13" t="inlineStr"/>
    </row>
    <row r="15" ht="18" customHeight="1">
      <c r="A15" s="8" t="n">
        <v>3</v>
      </c>
      <c r="B15" s="8" t="inlineStr">
        <is>
          <t>04</t>
        </is>
      </c>
      <c r="C15" s="9" t="inlineStr">
        <is>
          <t>Echeverria pasaje</t>
        </is>
      </c>
      <c r="D15" s="10" t="n">
        <v>14000</v>
      </c>
      <c r="E15" s="10">
        <f>IF(D15&gt;0,D15/B$2,"")</f>
        <v/>
      </c>
      <c r="F15" s="9" t="inlineStr"/>
      <c r="G15" s="9" t="inlineStr"/>
    </row>
    <row r="16" ht="18" customHeight="1">
      <c r="A16" s="12" t="n">
        <v>4</v>
      </c>
      <c r="B16" s="12" t="inlineStr">
        <is>
          <t>05</t>
        </is>
      </c>
      <c r="C16" s="13" t="inlineStr">
        <is>
          <t>Comida</t>
        </is>
      </c>
      <c r="D16" s="14" t="n">
        <v>8000</v>
      </c>
      <c r="E16" s="14">
        <f>IF(D16&gt;0,D16/B$2,"")</f>
        <v/>
      </c>
      <c r="F16" s="13" t="inlineStr"/>
      <c r="G16" s="13" t="inlineStr"/>
    </row>
    <row r="17" ht="18" customHeight="1">
      <c r="A17" s="8" t="n">
        <v>5</v>
      </c>
      <c r="B17" s="8" t="inlineStr">
        <is>
          <t>10</t>
        </is>
      </c>
      <c r="C17" s="9" t="inlineStr">
        <is>
          <t>Almuerzo</t>
        </is>
      </c>
      <c r="D17" s="10" t="n">
        <v>5000</v>
      </c>
      <c r="E17" s="10">
        <f>IF(D17&gt;0,D17/B$2,"")</f>
        <v/>
      </c>
      <c r="F17" s="9" t="inlineStr"/>
      <c r="G17" s="9" t="inlineStr"/>
    </row>
    <row r="18" ht="18" customHeight="1">
      <c r="A18" s="25" t="n"/>
      <c r="B18" s="25" t="n"/>
      <c r="C18" s="25" t="n"/>
      <c r="D18" s="25" t="n"/>
      <c r="E18" s="25" t="n"/>
      <c r="F18" s="25" t="n"/>
      <c r="G18" s="25" t="n"/>
    </row>
    <row r="19" ht="18" customHeight="1">
      <c r="A19" s="24" t="n"/>
      <c r="B19" s="24" t="n"/>
      <c r="C19" s="24" t="n"/>
      <c r="D19" s="24" t="n"/>
      <c r="E19" s="24" t="n"/>
      <c r="F19" s="24" t="n"/>
      <c r="G19" s="24" t="n"/>
    </row>
    <row r="20" ht="18" customHeight="1">
      <c r="A20" s="25" t="n"/>
      <c r="B20" s="25" t="n"/>
      <c r="C20" s="25" t="n"/>
      <c r="D20" s="25" t="n"/>
      <c r="E20" s="25" t="n"/>
      <c r="F20" s="25" t="n"/>
      <c r="G20" s="25" t="n"/>
    </row>
    <row r="21" ht="18" customHeight="1">
      <c r="A21" s="24" t="n"/>
      <c r="B21" s="24" t="n"/>
      <c r="C21" s="24" t="n"/>
      <c r="D21" s="24" t="n"/>
      <c r="E21" s="24" t="n"/>
      <c r="F21" s="24" t="n"/>
      <c r="G21" s="24" t="n"/>
    </row>
    <row r="22" ht="18" customHeight="1">
      <c r="A22" s="25" t="n"/>
      <c r="B22" s="25" t="n"/>
      <c r="C22" s="25" t="n"/>
      <c r="D22" s="25" t="n"/>
      <c r="E22" s="25" t="n"/>
      <c r="F22" s="25" t="n"/>
      <c r="G22" s="25" t="n"/>
    </row>
    <row r="23" ht="18" customHeight="1">
      <c r="A23" s="24" t="n"/>
      <c r="B23" s="24" t="n"/>
      <c r="C23" s="24" t="n"/>
      <c r="D23" s="24" t="n"/>
      <c r="E23" s="24" t="n"/>
      <c r="F23" s="24" t="n"/>
      <c r="G23" s="24" t="n"/>
    </row>
    <row r="24" ht="18" customHeight="1">
      <c r="A24" s="25" t="n"/>
      <c r="B24" s="25" t="n"/>
      <c r="C24" s="25" t="n"/>
      <c r="D24" s="25" t="n"/>
      <c r="E24" s="25" t="n"/>
      <c r="F24" s="25" t="n"/>
      <c r="G24" s="25" t="n"/>
    </row>
    <row r="25" ht="18" customHeight="1">
      <c r="A25" s="24" t="n"/>
      <c r="B25" s="24" t="n"/>
      <c r="C25" s="24" t="n"/>
      <c r="D25" s="24" t="n"/>
      <c r="E25" s="24" t="n"/>
      <c r="F25" s="24" t="n"/>
      <c r="G25" s="24" t="n"/>
    </row>
    <row r="26" ht="18" customHeight="1">
      <c r="A26" s="25" t="n"/>
      <c r="B26" s="25" t="n"/>
      <c r="C26" s="25" t="n"/>
      <c r="D26" s="25" t="n"/>
      <c r="E26" s="25" t="n"/>
      <c r="F26" s="25" t="n"/>
      <c r="G26" s="25" t="n"/>
    </row>
    <row r="27" ht="18" customHeight="1">
      <c r="A27" s="24" t="n"/>
      <c r="B27" s="24" t="n"/>
      <c r="C27" s="24" t="n"/>
      <c r="D27" s="24" t="n"/>
      <c r="E27" s="24" t="n"/>
      <c r="F27" s="24" t="n"/>
      <c r="G27" s="24" t="n"/>
    </row>
    <row r="28" ht="18" customHeight="1">
      <c r="A28" s="25" t="n"/>
      <c r="B28" s="25" t="n"/>
      <c r="C28" s="25" t="n"/>
      <c r="D28" s="25" t="n"/>
      <c r="E28" s="25" t="n"/>
      <c r="F28" s="25" t="n"/>
      <c r="G28" s="25" t="n"/>
    </row>
    <row r="29" ht="18" customHeight="1">
      <c r="A29" s="24" t="n"/>
      <c r="B29" s="24" t="n"/>
      <c r="C29" s="24" t="n"/>
      <c r="D29" s="24" t="n"/>
      <c r="E29" s="24" t="n"/>
      <c r="F29" s="24" t="n"/>
      <c r="G29" s="24" t="n"/>
    </row>
    <row r="30" ht="18" customHeight="1">
      <c r="A30" s="25" t="n"/>
      <c r="B30" s="25" t="n"/>
      <c r="C30" s="25" t="n"/>
      <c r="D30" s="25" t="n"/>
      <c r="E30" s="25" t="n"/>
      <c r="F30" s="25" t="n"/>
      <c r="G30" s="25" t="n"/>
    </row>
    <row r="31" ht="18" customHeight="1">
      <c r="A31" s="24" t="n"/>
      <c r="B31" s="24" t="n"/>
      <c r="C31" s="24" t="n"/>
      <c r="D31" s="24" t="n"/>
      <c r="E31" s="24" t="n"/>
      <c r="F31" s="24" t="n"/>
      <c r="G31" s="24" t="n"/>
    </row>
    <row r="32" ht="18" customHeight="1">
      <c r="A32" s="25" t="n"/>
      <c r="B32" s="25" t="n"/>
      <c r="C32" s="25" t="n"/>
      <c r="D32" s="25" t="n"/>
      <c r="E32" s="25" t="n"/>
      <c r="F32" s="25" t="n"/>
      <c r="G32" s="25" t="n"/>
    </row>
    <row r="33" ht="18" customHeight="1">
      <c r="A33" s="24" t="n"/>
      <c r="B33" s="24" t="n"/>
      <c r="C33" s="24" t="n"/>
      <c r="D33" s="24" t="n"/>
      <c r="E33" s="24" t="n"/>
      <c r="F33" s="24" t="n"/>
      <c r="G33" s="24" t="n"/>
    </row>
    <row r="34" ht="18" customHeight="1">
      <c r="A34" s="25" t="n"/>
      <c r="B34" s="25" t="n"/>
      <c r="C34" s="25" t="n"/>
      <c r="D34" s="25" t="n"/>
      <c r="E34" s="25" t="n"/>
      <c r="F34" s="25" t="n"/>
      <c r="G34" s="25" t="n"/>
    </row>
    <row r="35" ht="18" customHeight="1">
      <c r="A35" s="24" t="n"/>
      <c r="B35" s="24" t="n"/>
      <c r="C35" s="24" t="n"/>
      <c r="D35" s="24" t="n"/>
      <c r="E35" s="24" t="n"/>
      <c r="F35" s="24" t="n"/>
      <c r="G35" s="24" t="n"/>
    </row>
    <row r="36" ht="18" customHeight="1">
      <c r="A36" s="25" t="n"/>
      <c r="B36" s="25" t="n"/>
      <c r="C36" s="25" t="n"/>
      <c r="D36" s="25" t="n"/>
      <c r="E36" s="25" t="n"/>
      <c r="F36" s="25" t="n"/>
      <c r="G36" s="25" t="n"/>
    </row>
    <row r="37" ht="18" customHeight="1">
      <c r="A37" s="24" t="n"/>
      <c r="B37" s="24" t="n"/>
      <c r="C37" s="24" t="n"/>
      <c r="D37" s="24" t="n"/>
      <c r="E37" s="24" t="n"/>
      <c r="F37" s="24" t="n"/>
      <c r="G37" s="24" t="n"/>
    </row>
    <row r="38" ht="22" customHeight="1">
      <c r="A38" s="16" t="inlineStr">
        <is>
          <t>TOTAL VARIABLE</t>
        </is>
      </c>
      <c r="D38" s="17">
        <f>SUM(D13:D37)</f>
        <v/>
      </c>
      <c r="E38" s="17">
        <f>SUM(E13:E37)</f>
        <v/>
      </c>
      <c r="F38" s="18" t="n"/>
      <c r="G38" s="18" t="n"/>
    </row>
    <row r="39" ht="8" customHeight="1">
      <c r="A39" s="19" t="n"/>
      <c r="B39" s="19" t="n"/>
      <c r="C39" s="19" t="n"/>
      <c r="D39" s="19" t="n"/>
      <c r="E39" s="19" t="n"/>
      <c r="F39" s="19" t="n"/>
      <c r="G39" s="19" t="n"/>
    </row>
    <row r="40" ht="26" customHeight="1">
      <c r="A40" s="26" t="inlineStr">
        <is>
          <t>💰 BALANCE</t>
        </is>
      </c>
      <c r="D40" s="27">
        <f>D5-D9-D38</f>
        <v/>
      </c>
      <c r="E40" s="27">
        <f>E5-E9-E38</f>
        <v/>
      </c>
      <c r="F40" s="28" t="n"/>
      <c r="G40" s="28" t="n"/>
    </row>
  </sheetData>
  <mergeCells count="9">
    <mergeCell ref="A1:G1"/>
    <mergeCell ref="A5:C5"/>
    <mergeCell ref="A3:G3"/>
    <mergeCell ref="A40:C40"/>
    <mergeCell ref="A9:C9"/>
    <mergeCell ref="A2"/>
    <mergeCell ref="A7:G7"/>
    <mergeCell ref="A11:G11"/>
    <mergeCell ref="A38:C38"/>
  </mergeCells>
  <dataValidations count="2">
    <dataValidation sqref="F13:F37" showDropDown="0" showInputMessage="0" showErrorMessage="0" allowBlank="1" type="list">
      <formula1>"Food,Transport,Health,Utilities,Entertainment,Tax,Savings,Big Buy,Personal,Other"</formula1>
    </dataValidation>
    <dataValidation sqref="G13:G37" showDropDown="0" showInputMessage="0" showErrorMessage="0" allowBlank="1" type="list">
      <formula1>"Cash ARS,USD Cash,Wise,Binance,MercadoPago,Tarjeta"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2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 ht="30" customHeight="1">
      <c r="A1" s="1" t="inlineStr">
        <is>
          <t>💸 FEB 2025 — GASTOS MENSUALES</t>
        </is>
      </c>
    </row>
    <row r="2" ht="22" customHeight="1">
      <c r="A2" s="2" t="inlineStr">
        <is>
          <t>USD/ARS</t>
        </is>
      </c>
      <c r="B2" s="3" t="n">
        <v>1100</v>
      </c>
      <c r="C2" s="4" t="inlineStr">
        <is>
          <t>← update monthly</t>
        </is>
      </c>
      <c r="D2" s="5" t="n"/>
      <c r="E2" s="5" t="n"/>
      <c r="F2" s="5" t="n"/>
      <c r="G2" s="5" t="n"/>
    </row>
    <row r="3" ht="24" customHeight="1">
      <c r="A3" s="6" t="inlineStr">
        <is>
          <t>▲ INGRESOS</t>
        </is>
      </c>
    </row>
    <row r="4" ht="20" customHeight="1">
      <c r="A4" s="7" t="inlineStr">
        <is>
          <t>#</t>
        </is>
      </c>
      <c r="B4" s="7" t="inlineStr">
        <is>
          <t>Source</t>
        </is>
      </c>
      <c r="C4" s="7" t="inlineStr">
        <is>
          <t>Description</t>
        </is>
      </c>
      <c r="D4" s="7" t="inlineStr">
        <is>
          <t>ARS</t>
        </is>
      </c>
      <c r="E4" s="7" t="inlineStr">
        <is>
          <t>USD</t>
        </is>
      </c>
    </row>
    <row r="5" ht="22" customHeight="1">
      <c r="A5" s="16" t="inlineStr">
        <is>
          <t>TOTAL INGRESOS</t>
        </is>
      </c>
      <c r="D5" s="17">
        <f>SUM(D5:D4)</f>
        <v/>
      </c>
      <c r="E5" s="17">
        <f>SUM(E5:E4)</f>
        <v/>
      </c>
      <c r="F5" s="18" t="n"/>
      <c r="G5" s="18" t="n"/>
    </row>
    <row r="6" ht="8" customHeight="1">
      <c r="A6" s="19" t="n"/>
      <c r="B6" s="19" t="n"/>
      <c r="C6" s="19" t="n"/>
      <c r="D6" s="19" t="n"/>
      <c r="E6" s="19" t="n"/>
      <c r="F6" s="19" t="n"/>
      <c r="G6" s="19" t="n"/>
    </row>
    <row r="7" ht="24" customHeight="1">
      <c r="A7" s="20" t="inlineStr">
        <is>
          <t>▼ EGRESOS FIJOS</t>
        </is>
      </c>
    </row>
    <row r="8" ht="20" customHeight="1">
      <c r="A8" s="21" t="inlineStr">
        <is>
          <t>#</t>
        </is>
      </c>
      <c r="B8" s="21" t="inlineStr">
        <is>
          <t>Description</t>
        </is>
      </c>
      <c r="C8" s="21" t="inlineStr">
        <is>
          <t>ARS</t>
        </is>
      </c>
      <c r="D8" s="21" t="inlineStr">
        <is>
          <t>USD</t>
        </is>
      </c>
      <c r="E8" s="21" t="inlineStr">
        <is>
          <t>Status</t>
        </is>
      </c>
      <c r="F8" s="21" t="inlineStr"/>
      <c r="G8" s="21" t="inlineStr"/>
    </row>
    <row r="9" ht="22" customHeight="1">
      <c r="A9" s="16" t="inlineStr">
        <is>
          <t>TOTAL FIJOS</t>
        </is>
      </c>
      <c r="D9" s="17">
        <f>SUM(D9:D8)</f>
        <v/>
      </c>
      <c r="E9" s="17">
        <f>SUM(E9:E8)</f>
        <v/>
      </c>
      <c r="F9" s="18" t="n"/>
      <c r="G9" s="18" t="n"/>
    </row>
    <row r="10" ht="8" customHeight="1">
      <c r="A10" s="19" t="n"/>
      <c r="B10" s="19" t="n"/>
      <c r="C10" s="19" t="n"/>
      <c r="D10" s="19" t="n"/>
      <c r="E10" s="19" t="n"/>
      <c r="F10" s="19" t="n"/>
      <c r="G10" s="19" t="n"/>
    </row>
    <row r="11" ht="24" customHeight="1">
      <c r="A11" s="22" t="inlineStr">
        <is>
          <t>📋 GASTOS DEL MES</t>
        </is>
      </c>
    </row>
    <row r="12" ht="20" customHeight="1">
      <c r="A12" s="23" t="inlineStr">
        <is>
          <t>#</t>
        </is>
      </c>
      <c r="B12" s="23" t="inlineStr">
        <is>
          <t>Date</t>
        </is>
      </c>
      <c r="C12" s="23" t="inlineStr">
        <is>
          <t>Description</t>
        </is>
      </c>
      <c r="D12" s="23" t="inlineStr">
        <is>
          <t>ARS</t>
        </is>
      </c>
      <c r="E12" s="23" t="inlineStr">
        <is>
          <t>USD</t>
        </is>
      </c>
      <c r="F12" s="23" t="inlineStr">
        <is>
          <t>Category</t>
        </is>
      </c>
      <c r="G12" s="23" t="inlineStr">
        <is>
          <t>Payment</t>
        </is>
      </c>
    </row>
    <row r="13" ht="18" customHeight="1">
      <c r="A13" s="24" t="n"/>
      <c r="B13" s="24" t="n"/>
      <c r="C13" s="24" t="n"/>
      <c r="D13" s="24" t="n"/>
      <c r="E13" s="24" t="n"/>
      <c r="F13" s="24" t="n"/>
      <c r="G13" s="24" t="n"/>
    </row>
    <row r="14" ht="18" customHeight="1">
      <c r="A14" s="25" t="n"/>
      <c r="B14" s="25" t="n"/>
      <c r="C14" s="25" t="n"/>
      <c r="D14" s="25" t="n"/>
      <c r="E14" s="25" t="n"/>
      <c r="F14" s="25" t="n"/>
      <c r="G14" s="25" t="n"/>
    </row>
    <row r="15" ht="18" customHeight="1">
      <c r="A15" s="24" t="n"/>
      <c r="B15" s="24" t="n"/>
      <c r="C15" s="24" t="n"/>
      <c r="D15" s="24" t="n"/>
      <c r="E15" s="24" t="n"/>
      <c r="F15" s="24" t="n"/>
      <c r="G15" s="24" t="n"/>
    </row>
    <row r="16" ht="18" customHeight="1">
      <c r="A16" s="25" t="n"/>
      <c r="B16" s="25" t="n"/>
      <c r="C16" s="25" t="n"/>
      <c r="D16" s="25" t="n"/>
      <c r="E16" s="25" t="n"/>
      <c r="F16" s="25" t="n"/>
      <c r="G16" s="25" t="n"/>
    </row>
    <row r="17" ht="18" customHeight="1">
      <c r="A17" s="24" t="n"/>
      <c r="B17" s="24" t="n"/>
      <c r="C17" s="24" t="n"/>
      <c r="D17" s="24" t="n"/>
      <c r="E17" s="24" t="n"/>
      <c r="F17" s="24" t="n"/>
      <c r="G17" s="24" t="n"/>
    </row>
    <row r="18" ht="18" customHeight="1">
      <c r="A18" s="25" t="n"/>
      <c r="B18" s="25" t="n"/>
      <c r="C18" s="25" t="n"/>
      <c r="D18" s="25" t="n"/>
      <c r="E18" s="25" t="n"/>
      <c r="F18" s="25" t="n"/>
      <c r="G18" s="25" t="n"/>
    </row>
    <row r="19" ht="18" customHeight="1">
      <c r="A19" s="24" t="n"/>
      <c r="B19" s="24" t="n"/>
      <c r="C19" s="24" t="n"/>
      <c r="D19" s="24" t="n"/>
      <c r="E19" s="24" t="n"/>
      <c r="F19" s="24" t="n"/>
      <c r="G19" s="24" t="n"/>
    </row>
    <row r="20" ht="18" customHeight="1">
      <c r="A20" s="25" t="n"/>
      <c r="B20" s="25" t="n"/>
      <c r="C20" s="25" t="n"/>
      <c r="D20" s="25" t="n"/>
      <c r="E20" s="25" t="n"/>
      <c r="F20" s="25" t="n"/>
      <c r="G20" s="25" t="n"/>
    </row>
    <row r="21" ht="18" customHeight="1">
      <c r="A21" s="24" t="n"/>
      <c r="B21" s="24" t="n"/>
      <c r="C21" s="24" t="n"/>
      <c r="D21" s="24" t="n"/>
      <c r="E21" s="24" t="n"/>
      <c r="F21" s="24" t="n"/>
      <c r="G21" s="24" t="n"/>
    </row>
    <row r="22" ht="18" customHeight="1">
      <c r="A22" s="25" t="n"/>
      <c r="B22" s="25" t="n"/>
      <c r="C22" s="25" t="n"/>
      <c r="D22" s="25" t="n"/>
      <c r="E22" s="25" t="n"/>
      <c r="F22" s="25" t="n"/>
      <c r="G22" s="25" t="n"/>
    </row>
    <row r="23" ht="18" customHeight="1">
      <c r="A23" s="24" t="n"/>
      <c r="B23" s="24" t="n"/>
      <c r="C23" s="24" t="n"/>
      <c r="D23" s="24" t="n"/>
      <c r="E23" s="24" t="n"/>
      <c r="F23" s="24" t="n"/>
      <c r="G23" s="24" t="n"/>
    </row>
    <row r="24" ht="18" customHeight="1">
      <c r="A24" s="25" t="n"/>
      <c r="B24" s="25" t="n"/>
      <c r="C24" s="25" t="n"/>
      <c r="D24" s="25" t="n"/>
      <c r="E24" s="25" t="n"/>
      <c r="F24" s="25" t="n"/>
      <c r="G24" s="25" t="n"/>
    </row>
    <row r="25" ht="18" customHeight="1">
      <c r="A25" s="24" t="n"/>
      <c r="B25" s="24" t="n"/>
      <c r="C25" s="24" t="n"/>
      <c r="D25" s="24" t="n"/>
      <c r="E25" s="24" t="n"/>
      <c r="F25" s="24" t="n"/>
      <c r="G25" s="24" t="n"/>
    </row>
    <row r="26" ht="18" customHeight="1">
      <c r="A26" s="25" t="n"/>
      <c r="B26" s="25" t="n"/>
      <c r="C26" s="25" t="n"/>
      <c r="D26" s="25" t="n"/>
      <c r="E26" s="25" t="n"/>
      <c r="F26" s="25" t="n"/>
      <c r="G26" s="25" t="n"/>
    </row>
    <row r="27" ht="18" customHeight="1">
      <c r="A27" s="24" t="n"/>
      <c r="B27" s="24" t="n"/>
      <c r="C27" s="24" t="n"/>
      <c r="D27" s="24" t="n"/>
      <c r="E27" s="24" t="n"/>
      <c r="F27" s="24" t="n"/>
      <c r="G27" s="24" t="n"/>
    </row>
    <row r="28" ht="18" customHeight="1">
      <c r="A28" s="25" t="n"/>
      <c r="B28" s="25" t="n"/>
      <c r="C28" s="25" t="n"/>
      <c r="D28" s="25" t="n"/>
      <c r="E28" s="25" t="n"/>
      <c r="F28" s="25" t="n"/>
      <c r="G28" s="25" t="n"/>
    </row>
    <row r="29" ht="18" customHeight="1">
      <c r="A29" s="24" t="n"/>
      <c r="B29" s="24" t="n"/>
      <c r="C29" s="24" t="n"/>
      <c r="D29" s="24" t="n"/>
      <c r="E29" s="24" t="n"/>
      <c r="F29" s="24" t="n"/>
      <c r="G29" s="24" t="n"/>
    </row>
    <row r="30" ht="18" customHeight="1">
      <c r="A30" s="25" t="n"/>
      <c r="B30" s="25" t="n"/>
      <c r="C30" s="25" t="n"/>
      <c r="D30" s="25" t="n"/>
      <c r="E30" s="25" t="n"/>
      <c r="F30" s="25" t="n"/>
      <c r="G30" s="25" t="n"/>
    </row>
    <row r="31" ht="18" customHeight="1">
      <c r="A31" s="24" t="n"/>
      <c r="B31" s="24" t="n"/>
      <c r="C31" s="24" t="n"/>
      <c r="D31" s="24" t="n"/>
      <c r="E31" s="24" t="n"/>
      <c r="F31" s="24" t="n"/>
      <c r="G31" s="24" t="n"/>
    </row>
    <row r="32" ht="18" customHeight="1">
      <c r="A32" s="25" t="n"/>
      <c r="B32" s="25" t="n"/>
      <c r="C32" s="25" t="n"/>
      <c r="D32" s="25" t="n"/>
      <c r="E32" s="25" t="n"/>
      <c r="F32" s="25" t="n"/>
      <c r="G32" s="25" t="n"/>
    </row>
    <row r="33" ht="18" customHeight="1">
      <c r="A33" s="24" t="n"/>
      <c r="B33" s="24" t="n"/>
      <c r="C33" s="24" t="n"/>
      <c r="D33" s="24" t="n"/>
      <c r="E33" s="24" t="n"/>
      <c r="F33" s="24" t="n"/>
      <c r="G33" s="24" t="n"/>
    </row>
    <row r="34" ht="18" customHeight="1">
      <c r="A34" s="25" t="n"/>
      <c r="B34" s="25" t="n"/>
      <c r="C34" s="25" t="n"/>
      <c r="D34" s="25" t="n"/>
      <c r="E34" s="25" t="n"/>
      <c r="F34" s="25" t="n"/>
      <c r="G34" s="25" t="n"/>
    </row>
    <row r="35" ht="18" customHeight="1">
      <c r="A35" s="24" t="n"/>
      <c r="B35" s="24" t="n"/>
      <c r="C35" s="24" t="n"/>
      <c r="D35" s="24" t="n"/>
      <c r="E35" s="24" t="n"/>
      <c r="F35" s="24" t="n"/>
      <c r="G35" s="24" t="n"/>
    </row>
    <row r="36" ht="18" customHeight="1">
      <c r="A36" s="25" t="n"/>
      <c r="B36" s="25" t="n"/>
      <c r="C36" s="25" t="n"/>
      <c r="D36" s="25" t="n"/>
      <c r="E36" s="25" t="n"/>
      <c r="F36" s="25" t="n"/>
      <c r="G36" s="25" t="n"/>
    </row>
    <row r="37" ht="18" customHeight="1">
      <c r="A37" s="24" t="n"/>
      <c r="B37" s="24" t="n"/>
      <c r="C37" s="24" t="n"/>
      <c r="D37" s="24" t="n"/>
      <c r="E37" s="24" t="n"/>
      <c r="F37" s="24" t="n"/>
      <c r="G37" s="24" t="n"/>
    </row>
    <row r="38" ht="22" customHeight="1">
      <c r="A38" s="16" t="inlineStr">
        <is>
          <t>TOTAL VARIABLE</t>
        </is>
      </c>
      <c r="D38" s="17">
        <f>SUM(D13:D37)</f>
        <v/>
      </c>
      <c r="E38" s="17">
        <f>SUM(E13:E37)</f>
        <v/>
      </c>
      <c r="F38" s="18" t="n"/>
      <c r="G38" s="18" t="n"/>
    </row>
    <row r="39" ht="8" customHeight="1">
      <c r="A39" s="19" t="n"/>
      <c r="B39" s="19" t="n"/>
      <c r="C39" s="19" t="n"/>
      <c r="D39" s="19" t="n"/>
      <c r="E39" s="19" t="n"/>
      <c r="F39" s="19" t="n"/>
      <c r="G39" s="19" t="n"/>
    </row>
    <row r="40" ht="26" customHeight="1">
      <c r="A40" s="26" t="inlineStr">
        <is>
          <t>💰 BALANCE</t>
        </is>
      </c>
      <c r="D40" s="27">
        <f>D5-D9-D38</f>
        <v/>
      </c>
      <c r="E40" s="27">
        <f>E5-E9-E38</f>
        <v/>
      </c>
      <c r="F40" s="28" t="n"/>
      <c r="G40" s="28" t="n"/>
    </row>
  </sheetData>
  <mergeCells count="9">
    <mergeCell ref="A1:G1"/>
    <mergeCell ref="A5:C5"/>
    <mergeCell ref="A3:G3"/>
    <mergeCell ref="A40:C40"/>
    <mergeCell ref="A9:C9"/>
    <mergeCell ref="A2"/>
    <mergeCell ref="A7:G7"/>
    <mergeCell ref="A11:G11"/>
    <mergeCell ref="A38:C38"/>
  </mergeCells>
  <dataValidations count="2">
    <dataValidation sqref="F13:F37" showDropDown="0" showInputMessage="0" showErrorMessage="0" allowBlank="1" type="list">
      <formula1>"Food,Transport,Health,Utilities,Entertainment,Tax,Savings,Big Buy,Personal,Other"</formula1>
    </dataValidation>
    <dataValidation sqref="G13:G37" showDropDown="0" showInputMessage="0" showErrorMessage="0" allowBlank="1" type="list">
      <formula1>"Cash ARS,USD Cash,Wise,Binance,MercadoPago,Tarjeta"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2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 ht="30" customHeight="1">
      <c r="A1" s="1" t="inlineStr">
        <is>
          <t>💸 MAR 2025 — GASTOS MENSUALES</t>
        </is>
      </c>
    </row>
    <row r="2" ht="22" customHeight="1">
      <c r="A2" s="2" t="inlineStr">
        <is>
          <t>USD/ARS</t>
        </is>
      </c>
      <c r="B2" s="3" t="n">
        <v>1000</v>
      </c>
      <c r="C2" s="4" t="inlineStr">
        <is>
          <t>← update monthly</t>
        </is>
      </c>
      <c r="D2" s="5" t="n"/>
      <c r="E2" s="5" t="n"/>
      <c r="F2" s="5" t="n"/>
      <c r="G2" s="5" t="n"/>
    </row>
    <row r="3" ht="24" customHeight="1">
      <c r="A3" s="6" t="inlineStr">
        <is>
          <t>▲ INGRESOS</t>
        </is>
      </c>
    </row>
    <row r="4" ht="20" customHeight="1">
      <c r="A4" s="7" t="inlineStr">
        <is>
          <t>#</t>
        </is>
      </c>
      <c r="B4" s="7" t="inlineStr">
        <is>
          <t>Source</t>
        </is>
      </c>
      <c r="C4" s="7" t="inlineStr">
        <is>
          <t>Description</t>
        </is>
      </c>
      <c r="D4" s="7" t="inlineStr">
        <is>
          <t>ARS</t>
        </is>
      </c>
      <c r="E4" s="7" t="inlineStr">
        <is>
          <t>USD</t>
        </is>
      </c>
    </row>
    <row r="5" ht="18" customHeight="1">
      <c r="A5" s="8" t="n">
        <v>1</v>
      </c>
      <c r="B5" s="9" t="inlineStr"/>
      <c r="C5" s="9" t="inlineStr">
        <is>
          <t>Basecoat</t>
        </is>
      </c>
      <c r="D5" s="10" t="n"/>
      <c r="E5" s="10" t="n">
        <v>933</v>
      </c>
      <c r="F5" s="11" t="n"/>
      <c r="G5" s="11" t="n"/>
    </row>
    <row r="6" ht="18" customHeight="1">
      <c r="A6" s="12" t="n">
        <v>2</v>
      </c>
      <c r="B6" s="13" t="inlineStr"/>
      <c r="C6" s="13" t="inlineStr">
        <is>
          <t>Bono Compu Basecoat</t>
        </is>
      </c>
      <c r="D6" s="14" t="n"/>
      <c r="E6" s="14" t="n">
        <v>500</v>
      </c>
      <c r="F6" s="15" t="n"/>
      <c r="G6" s="15" t="n"/>
    </row>
    <row r="7" ht="18" customHeight="1">
      <c r="A7" s="8" t="n">
        <v>3</v>
      </c>
      <c r="B7" s="9" t="inlineStr"/>
      <c r="C7" s="9" t="inlineStr">
        <is>
          <t>Basecoat 2</t>
        </is>
      </c>
      <c r="D7" s="10" t="n"/>
      <c r="E7" s="10" t="n">
        <v>963</v>
      </c>
      <c r="F7" s="11" t="n"/>
      <c r="G7" s="11" t="n"/>
    </row>
    <row r="8" ht="18" customHeight="1">
      <c r="A8" s="12" t="n">
        <v>4</v>
      </c>
      <c r="B8" s="13" t="inlineStr"/>
      <c r="C8" s="13" t="inlineStr">
        <is>
          <t>Mati sun</t>
        </is>
      </c>
      <c r="D8" s="14" t="n"/>
      <c r="E8" s="14" t="n">
        <v>65</v>
      </c>
      <c r="F8" s="15" t="n"/>
      <c r="G8" s="15" t="n"/>
    </row>
    <row r="9" ht="18" customHeight="1">
      <c r="A9" s="8" t="n">
        <v>5</v>
      </c>
      <c r="B9" s="9" t="inlineStr"/>
      <c r="C9" s="9" t="inlineStr">
        <is>
          <t>Fiesta Maru Bo</t>
        </is>
      </c>
      <c r="D9" s="10" t="n"/>
      <c r="E9" s="10" t="n">
        <v>65</v>
      </c>
      <c r="F9" s="11" t="n"/>
      <c r="G9" s="11" t="n"/>
    </row>
    <row r="10" ht="18" customHeight="1">
      <c r="A10" s="12" t="n">
        <v>6</v>
      </c>
      <c r="B10" s="13" t="inlineStr"/>
      <c r="C10" s="13" t="inlineStr">
        <is>
          <t>Grego Dj</t>
        </is>
      </c>
      <c r="D10" s="14" t="n"/>
      <c r="E10" s="14" t="n">
        <v>25</v>
      </c>
      <c r="F10" s="15" t="n"/>
      <c r="G10" s="15" t="n"/>
    </row>
    <row r="11" ht="22" customHeight="1">
      <c r="A11" s="16" t="inlineStr">
        <is>
          <t>TOTAL INGRESOS</t>
        </is>
      </c>
      <c r="D11" s="17">
        <f>SUM(D5:D10)</f>
        <v/>
      </c>
      <c r="E11" s="17">
        <f>SUM(E5:E10)</f>
        <v/>
      </c>
      <c r="F11" s="18" t="n"/>
      <c r="G11" s="18" t="n"/>
    </row>
    <row r="12" ht="8" customHeight="1">
      <c r="A12" s="19" t="n"/>
      <c r="B12" s="19" t="n"/>
      <c r="C12" s="19" t="n"/>
      <c r="D12" s="19" t="n"/>
      <c r="E12" s="19" t="n"/>
      <c r="F12" s="19" t="n"/>
      <c r="G12" s="19" t="n"/>
    </row>
    <row r="13" ht="24" customHeight="1">
      <c r="A13" s="20" t="inlineStr">
        <is>
          <t>▼ EGRESOS FIJOS</t>
        </is>
      </c>
    </row>
    <row r="14" ht="20" customHeight="1">
      <c r="A14" s="21" t="inlineStr">
        <is>
          <t>#</t>
        </is>
      </c>
      <c r="B14" s="21" t="inlineStr">
        <is>
          <t>Description</t>
        </is>
      </c>
      <c r="C14" s="21" t="inlineStr">
        <is>
          <t>ARS</t>
        </is>
      </c>
      <c r="D14" s="21" t="inlineStr">
        <is>
          <t>USD</t>
        </is>
      </c>
      <c r="E14" s="21" t="inlineStr">
        <is>
          <t>Status</t>
        </is>
      </c>
      <c r="F14" s="21" t="inlineStr"/>
      <c r="G14" s="21" t="inlineStr"/>
    </row>
    <row r="15" ht="18" customHeight="1">
      <c r="A15" s="8" t="n">
        <v>1</v>
      </c>
      <c r="B15" s="9" t="inlineStr">
        <is>
          <t>MSI Cyborg</t>
        </is>
      </c>
      <c r="D15" s="10" t="n"/>
      <c r="E15" s="10" t="n">
        <v>810</v>
      </c>
      <c r="F15" s="9" t="inlineStr"/>
      <c r="G15" s="11" t="n"/>
    </row>
    <row r="16" ht="18" customHeight="1">
      <c r="A16" s="12" t="n">
        <v>2</v>
      </c>
      <c r="B16" s="13" t="inlineStr">
        <is>
          <t>Asisa Seguro</t>
        </is>
      </c>
      <c r="D16" s="14" t="n"/>
      <c r="E16" s="14" t="n">
        <v>45</v>
      </c>
      <c r="F16" s="13" t="inlineStr"/>
      <c r="G16" s="15" t="n"/>
    </row>
    <row r="17" ht="18" customHeight="1">
      <c r="A17" s="8" t="n">
        <v>3</v>
      </c>
      <c r="B17" s="9" t="inlineStr">
        <is>
          <t>Sillon</t>
        </is>
      </c>
      <c r="D17" s="10" t="n">
        <v>230000</v>
      </c>
      <c r="E17" s="10">
        <f>IF(D17&gt;0,D17/B$2,"")</f>
        <v/>
      </c>
      <c r="F17" s="9" t="inlineStr"/>
      <c r="G17" s="11" t="n"/>
    </row>
    <row r="18" ht="18" customHeight="1">
      <c r="A18" s="12" t="n">
        <v>4</v>
      </c>
      <c r="B18" s="13" t="inlineStr">
        <is>
          <t>Monitor</t>
        </is>
      </c>
      <c r="D18" s="14" t="n">
        <v>250000</v>
      </c>
      <c r="E18" s="14">
        <f>IF(D18&gt;0,D18/B$2,"")</f>
        <v/>
      </c>
      <c r="F18" s="13" t="inlineStr"/>
      <c r="G18" s="15" t="n"/>
    </row>
    <row r="19" ht="18" customHeight="1">
      <c r="A19" s="8" t="n">
        <v>5</v>
      </c>
      <c r="B19" s="9" t="inlineStr">
        <is>
          <t>AGIP</t>
        </is>
      </c>
      <c r="D19" s="10" t="n"/>
      <c r="E19" s="10" t="n"/>
      <c r="F19" s="9" t="inlineStr"/>
      <c r="G19" s="11" t="n"/>
    </row>
    <row r="20" ht="18" customHeight="1">
      <c r="A20" s="12" t="n">
        <v>6</v>
      </c>
      <c r="B20" s="13" t="inlineStr">
        <is>
          <t>Exp Arenales</t>
        </is>
      </c>
      <c r="D20" s="14" t="n"/>
      <c r="E20" s="14" t="n"/>
      <c r="F20" s="13" t="inlineStr"/>
      <c r="G20" s="15" t="n"/>
    </row>
    <row r="21" ht="18" customHeight="1">
      <c r="A21" s="8" t="n">
        <v>7</v>
      </c>
      <c r="B21" s="9" t="inlineStr">
        <is>
          <t>AYSA Arenales</t>
        </is>
      </c>
      <c r="D21" s="10" t="n"/>
      <c r="E21" s="10" t="n"/>
      <c r="F21" s="9" t="inlineStr"/>
      <c r="G21" s="11" t="n"/>
    </row>
    <row r="22" ht="18" customHeight="1">
      <c r="A22" s="12" t="n">
        <v>8</v>
      </c>
      <c r="B22" s="13" t="inlineStr">
        <is>
          <t>Luz Edesur</t>
        </is>
      </c>
      <c r="D22" s="14" t="n"/>
      <c r="E22" s="14" t="n"/>
      <c r="F22" s="13" t="inlineStr"/>
      <c r="G22" s="15" t="n"/>
    </row>
    <row r="23" ht="18" customHeight="1">
      <c r="A23" s="8" t="n">
        <v>9</v>
      </c>
      <c r="B23" s="9" t="inlineStr">
        <is>
          <t>Gas Arenales</t>
        </is>
      </c>
      <c r="D23" s="10" t="n"/>
      <c r="E23" s="10" t="n"/>
      <c r="F23" s="9" t="inlineStr"/>
      <c r="G23" s="11" t="n"/>
    </row>
    <row r="24" ht="18" customHeight="1">
      <c r="A24" s="12" t="n">
        <v>10</v>
      </c>
      <c r="B24" s="13" t="inlineStr">
        <is>
          <t>Telecentro</t>
        </is>
      </c>
      <c r="D24" s="14" t="n"/>
      <c r="E24" s="14" t="n"/>
      <c r="F24" s="13" t="inlineStr"/>
      <c r="G24" s="15" t="n"/>
    </row>
    <row r="25" ht="22" customHeight="1">
      <c r="A25" s="16" t="inlineStr">
        <is>
          <t>TOTAL FIJOS</t>
        </is>
      </c>
      <c r="D25" s="17">
        <f>SUM(D15:D24)</f>
        <v/>
      </c>
      <c r="E25" s="17">
        <f>SUM(E15:E24)</f>
        <v/>
      </c>
      <c r="F25" s="18" t="n"/>
      <c r="G25" s="18" t="n"/>
    </row>
    <row r="26" ht="8" customHeight="1">
      <c r="A26" s="19" t="n"/>
      <c r="B26" s="19" t="n"/>
      <c r="C26" s="19" t="n"/>
      <c r="D26" s="19" t="n"/>
      <c r="E26" s="19" t="n"/>
      <c r="F26" s="19" t="n"/>
      <c r="G26" s="19" t="n"/>
    </row>
    <row r="27" ht="24" customHeight="1">
      <c r="A27" s="22" t="inlineStr">
        <is>
          <t>📋 GASTOS DEL MES</t>
        </is>
      </c>
    </row>
    <row r="28" ht="20" customHeight="1">
      <c r="A28" s="23" t="inlineStr">
        <is>
          <t>#</t>
        </is>
      </c>
      <c r="B28" s="23" t="inlineStr">
        <is>
          <t>Date</t>
        </is>
      </c>
      <c r="C28" s="23" t="inlineStr">
        <is>
          <t>Description</t>
        </is>
      </c>
      <c r="D28" s="23" t="inlineStr">
        <is>
          <t>ARS</t>
        </is>
      </c>
      <c r="E28" s="23" t="inlineStr">
        <is>
          <t>USD</t>
        </is>
      </c>
      <c r="F28" s="23" t="inlineStr">
        <is>
          <t>Category</t>
        </is>
      </c>
      <c r="G28" s="23" t="inlineStr">
        <is>
          <t>Payment</t>
        </is>
      </c>
    </row>
    <row r="29" ht="18" customHeight="1">
      <c r="A29" s="24" t="n"/>
      <c r="B29" s="24" t="n"/>
      <c r="C29" s="24" t="n"/>
      <c r="D29" s="24" t="n"/>
      <c r="E29" s="24" t="n"/>
      <c r="F29" s="24" t="n"/>
      <c r="G29" s="24" t="n"/>
    </row>
    <row r="30" ht="18" customHeight="1">
      <c r="A30" s="25" t="n"/>
      <c r="B30" s="25" t="n"/>
      <c r="C30" s="25" t="n"/>
      <c r="D30" s="25" t="n"/>
      <c r="E30" s="25" t="n"/>
      <c r="F30" s="25" t="n"/>
      <c r="G30" s="25" t="n"/>
    </row>
    <row r="31" ht="18" customHeight="1">
      <c r="A31" s="24" t="n"/>
      <c r="B31" s="24" t="n"/>
      <c r="C31" s="24" t="n"/>
      <c r="D31" s="24" t="n"/>
      <c r="E31" s="24" t="n"/>
      <c r="F31" s="24" t="n"/>
      <c r="G31" s="24" t="n"/>
    </row>
    <row r="32" ht="18" customHeight="1">
      <c r="A32" s="25" t="n"/>
      <c r="B32" s="25" t="n"/>
      <c r="C32" s="25" t="n"/>
      <c r="D32" s="25" t="n"/>
      <c r="E32" s="25" t="n"/>
      <c r="F32" s="25" t="n"/>
      <c r="G32" s="25" t="n"/>
    </row>
    <row r="33" ht="18" customHeight="1">
      <c r="A33" s="24" t="n"/>
      <c r="B33" s="24" t="n"/>
      <c r="C33" s="24" t="n"/>
      <c r="D33" s="24" t="n"/>
      <c r="E33" s="24" t="n"/>
      <c r="F33" s="24" t="n"/>
      <c r="G33" s="24" t="n"/>
    </row>
    <row r="34" ht="18" customHeight="1">
      <c r="A34" s="25" t="n"/>
      <c r="B34" s="25" t="n"/>
      <c r="C34" s="25" t="n"/>
      <c r="D34" s="25" t="n"/>
      <c r="E34" s="25" t="n"/>
      <c r="F34" s="25" t="n"/>
      <c r="G34" s="25" t="n"/>
    </row>
    <row r="35" ht="18" customHeight="1">
      <c r="A35" s="24" t="n"/>
      <c r="B35" s="24" t="n"/>
      <c r="C35" s="24" t="n"/>
      <c r="D35" s="24" t="n"/>
      <c r="E35" s="24" t="n"/>
      <c r="F35" s="24" t="n"/>
      <c r="G35" s="24" t="n"/>
    </row>
    <row r="36" ht="18" customHeight="1">
      <c r="A36" s="25" t="n"/>
      <c r="B36" s="25" t="n"/>
      <c r="C36" s="25" t="n"/>
      <c r="D36" s="25" t="n"/>
      <c r="E36" s="25" t="n"/>
      <c r="F36" s="25" t="n"/>
      <c r="G36" s="25" t="n"/>
    </row>
    <row r="37" ht="18" customHeight="1">
      <c r="A37" s="24" t="n"/>
      <c r="B37" s="24" t="n"/>
      <c r="C37" s="24" t="n"/>
      <c r="D37" s="24" t="n"/>
      <c r="E37" s="24" t="n"/>
      <c r="F37" s="24" t="n"/>
      <c r="G37" s="24" t="n"/>
    </row>
    <row r="38" ht="18" customHeight="1">
      <c r="A38" s="25" t="n"/>
      <c r="B38" s="25" t="n"/>
      <c r="C38" s="25" t="n"/>
      <c r="D38" s="25" t="n"/>
      <c r="E38" s="25" t="n"/>
      <c r="F38" s="25" t="n"/>
      <c r="G38" s="25" t="n"/>
    </row>
    <row r="39" ht="18" customHeight="1">
      <c r="A39" s="24" t="n"/>
      <c r="B39" s="24" t="n"/>
      <c r="C39" s="24" t="n"/>
      <c r="D39" s="24" t="n"/>
      <c r="E39" s="24" t="n"/>
      <c r="F39" s="24" t="n"/>
      <c r="G39" s="24" t="n"/>
    </row>
    <row r="40" ht="18" customHeight="1">
      <c r="A40" s="25" t="n"/>
      <c r="B40" s="25" t="n"/>
      <c r="C40" s="25" t="n"/>
      <c r="D40" s="25" t="n"/>
      <c r="E40" s="25" t="n"/>
      <c r="F40" s="25" t="n"/>
      <c r="G40" s="25" t="n"/>
    </row>
    <row r="41" ht="18" customHeight="1">
      <c r="A41" s="24" t="n"/>
      <c r="B41" s="24" t="n"/>
      <c r="C41" s="24" t="n"/>
      <c r="D41" s="24" t="n"/>
      <c r="E41" s="24" t="n"/>
      <c r="F41" s="24" t="n"/>
      <c r="G41" s="24" t="n"/>
    </row>
    <row r="42" ht="18" customHeight="1">
      <c r="A42" s="25" t="n"/>
      <c r="B42" s="25" t="n"/>
      <c r="C42" s="25" t="n"/>
      <c r="D42" s="25" t="n"/>
      <c r="E42" s="25" t="n"/>
      <c r="F42" s="25" t="n"/>
      <c r="G42" s="25" t="n"/>
    </row>
    <row r="43" ht="18" customHeight="1">
      <c r="A43" s="24" t="n"/>
      <c r="B43" s="24" t="n"/>
      <c r="C43" s="24" t="n"/>
      <c r="D43" s="24" t="n"/>
      <c r="E43" s="24" t="n"/>
      <c r="F43" s="24" t="n"/>
      <c r="G43" s="24" t="n"/>
    </row>
    <row r="44" ht="18" customHeight="1">
      <c r="A44" s="25" t="n"/>
      <c r="B44" s="25" t="n"/>
      <c r="C44" s="25" t="n"/>
      <c r="D44" s="25" t="n"/>
      <c r="E44" s="25" t="n"/>
      <c r="F44" s="25" t="n"/>
      <c r="G44" s="25" t="n"/>
    </row>
    <row r="45" ht="18" customHeight="1">
      <c r="A45" s="24" t="n"/>
      <c r="B45" s="24" t="n"/>
      <c r="C45" s="24" t="n"/>
      <c r="D45" s="24" t="n"/>
      <c r="E45" s="24" t="n"/>
      <c r="F45" s="24" t="n"/>
      <c r="G45" s="24" t="n"/>
    </row>
    <row r="46" ht="18" customHeight="1">
      <c r="A46" s="25" t="n"/>
      <c r="B46" s="25" t="n"/>
      <c r="C46" s="25" t="n"/>
      <c r="D46" s="25" t="n"/>
      <c r="E46" s="25" t="n"/>
      <c r="F46" s="25" t="n"/>
      <c r="G46" s="25" t="n"/>
    </row>
    <row r="47" ht="18" customHeight="1">
      <c r="A47" s="24" t="n"/>
      <c r="B47" s="24" t="n"/>
      <c r="C47" s="24" t="n"/>
      <c r="D47" s="24" t="n"/>
      <c r="E47" s="24" t="n"/>
      <c r="F47" s="24" t="n"/>
      <c r="G47" s="24" t="n"/>
    </row>
    <row r="48" ht="18" customHeight="1">
      <c r="A48" s="25" t="n"/>
      <c r="B48" s="25" t="n"/>
      <c r="C48" s="25" t="n"/>
      <c r="D48" s="25" t="n"/>
      <c r="E48" s="25" t="n"/>
      <c r="F48" s="25" t="n"/>
      <c r="G48" s="25" t="n"/>
    </row>
    <row r="49" ht="18" customHeight="1">
      <c r="A49" s="24" t="n"/>
      <c r="B49" s="24" t="n"/>
      <c r="C49" s="24" t="n"/>
      <c r="D49" s="24" t="n"/>
      <c r="E49" s="24" t="n"/>
      <c r="F49" s="24" t="n"/>
      <c r="G49" s="24" t="n"/>
    </row>
    <row r="50" ht="18" customHeight="1">
      <c r="A50" s="25" t="n"/>
      <c r="B50" s="25" t="n"/>
      <c r="C50" s="25" t="n"/>
      <c r="D50" s="25" t="n"/>
      <c r="E50" s="25" t="n"/>
      <c r="F50" s="25" t="n"/>
      <c r="G50" s="25" t="n"/>
    </row>
    <row r="51" ht="18" customHeight="1">
      <c r="A51" s="24" t="n"/>
      <c r="B51" s="24" t="n"/>
      <c r="C51" s="24" t="n"/>
      <c r="D51" s="24" t="n"/>
      <c r="E51" s="24" t="n"/>
      <c r="F51" s="24" t="n"/>
      <c r="G51" s="24" t="n"/>
    </row>
    <row r="52" ht="18" customHeight="1">
      <c r="A52" s="25" t="n"/>
      <c r="B52" s="25" t="n"/>
      <c r="C52" s="25" t="n"/>
      <c r="D52" s="25" t="n"/>
      <c r="E52" s="25" t="n"/>
      <c r="F52" s="25" t="n"/>
      <c r="G52" s="25" t="n"/>
    </row>
    <row r="53" ht="18" customHeight="1">
      <c r="A53" s="24" t="n"/>
      <c r="B53" s="24" t="n"/>
      <c r="C53" s="24" t="n"/>
      <c r="D53" s="24" t="n"/>
      <c r="E53" s="24" t="n"/>
      <c r="F53" s="24" t="n"/>
      <c r="G53" s="24" t="n"/>
    </row>
    <row r="54" ht="22" customHeight="1">
      <c r="A54" s="16" t="inlineStr">
        <is>
          <t>TOTAL VARIABLE</t>
        </is>
      </c>
      <c r="D54" s="17">
        <f>SUM(D29:D53)</f>
        <v/>
      </c>
      <c r="E54" s="17">
        <f>SUM(E29:E53)</f>
        <v/>
      </c>
      <c r="F54" s="18" t="n"/>
      <c r="G54" s="18" t="n"/>
    </row>
    <row r="55" ht="8" customHeight="1">
      <c r="A55" s="19" t="n"/>
      <c r="B55" s="19" t="n"/>
      <c r="C55" s="19" t="n"/>
      <c r="D55" s="19" t="n"/>
      <c r="E55" s="19" t="n"/>
      <c r="F55" s="19" t="n"/>
      <c r="G55" s="19" t="n"/>
    </row>
    <row r="56" ht="26" customHeight="1">
      <c r="A56" s="26" t="inlineStr">
        <is>
          <t>💰 BALANCE</t>
        </is>
      </c>
      <c r="D56" s="27">
        <f>D11-D25-D54</f>
        <v/>
      </c>
      <c r="E56" s="27">
        <f>E11-E25-E54</f>
        <v/>
      </c>
      <c r="F56" s="28" t="n"/>
      <c r="G56" s="28" t="n"/>
    </row>
  </sheetData>
  <mergeCells count="19">
    <mergeCell ref="A25:C25"/>
    <mergeCell ref="B16:C16"/>
    <mergeCell ref="A56:C56"/>
    <mergeCell ref="B22:C22"/>
    <mergeCell ref="B18:C18"/>
    <mergeCell ref="A13:G13"/>
    <mergeCell ref="B21:C21"/>
    <mergeCell ref="B23:C23"/>
    <mergeCell ref="B17:C17"/>
    <mergeCell ref="A1:G1"/>
    <mergeCell ref="B19:C19"/>
    <mergeCell ref="B24:C24"/>
    <mergeCell ref="A11:C11"/>
    <mergeCell ref="B15:C15"/>
    <mergeCell ref="A27:G27"/>
    <mergeCell ref="A3:G3"/>
    <mergeCell ref="B20:C20"/>
    <mergeCell ref="A2"/>
    <mergeCell ref="A54:C54"/>
  </mergeCells>
  <dataValidations count="3">
    <dataValidation sqref="F29:F53" showDropDown="0" showInputMessage="0" showErrorMessage="0" allowBlank="1" type="list">
      <formula1>"Food,Transport,Health,Utilities,Entertainment,Tax,Savings,Big Buy,Personal,Other"</formula1>
    </dataValidation>
    <dataValidation sqref="G29:G53" showDropDown="0" showInputMessage="0" showErrorMessage="0" allowBlank="1" type="list">
      <formula1>"Cash ARS,USD Cash,Wise,Binance,MercadoPago,Tarjeta"</formula1>
    </dataValidation>
    <dataValidation sqref="E15:E24" showDropDown="0" showInputMessage="0" showErrorMessage="0" allowBlank="1" type="list">
      <formula1>"Pagado,Pendiente,Auto"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2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 ht="30" customHeight="1">
      <c r="A1" s="1" t="inlineStr">
        <is>
          <t>💸 APR 2025 — GASTOS MENSUALES</t>
        </is>
      </c>
    </row>
    <row r="2" ht="22" customHeight="1">
      <c r="A2" s="2" t="inlineStr">
        <is>
          <t>USD/ARS</t>
        </is>
      </c>
      <c r="B2" s="3" t="n">
        <v>1000</v>
      </c>
      <c r="C2" s="4" t="inlineStr">
        <is>
          <t>← update monthly</t>
        </is>
      </c>
      <c r="D2" s="5" t="n"/>
      <c r="E2" s="5" t="n"/>
      <c r="F2" s="5" t="n"/>
      <c r="G2" s="5" t="n"/>
    </row>
    <row r="3" ht="24" customHeight="1">
      <c r="A3" s="6" t="inlineStr">
        <is>
          <t>▲ INGRESOS</t>
        </is>
      </c>
    </row>
    <row r="4" ht="20" customHeight="1">
      <c r="A4" s="7" t="inlineStr">
        <is>
          <t>#</t>
        </is>
      </c>
      <c r="B4" s="7" t="inlineStr">
        <is>
          <t>Source</t>
        </is>
      </c>
      <c r="C4" s="7" t="inlineStr">
        <is>
          <t>Description</t>
        </is>
      </c>
      <c r="D4" s="7" t="inlineStr">
        <is>
          <t>ARS</t>
        </is>
      </c>
      <c r="E4" s="7" t="inlineStr">
        <is>
          <t>USD</t>
        </is>
      </c>
    </row>
    <row r="5" ht="18" customHeight="1">
      <c r="A5" s="8" t="n">
        <v>1</v>
      </c>
      <c r="B5" s="9" t="inlineStr"/>
      <c r="C5" s="9" t="inlineStr">
        <is>
          <t>Basecoat</t>
        </is>
      </c>
      <c r="D5" s="10" t="n"/>
      <c r="E5" s="10" t="n">
        <v>880</v>
      </c>
      <c r="F5" s="11" t="n"/>
      <c r="G5" s="11" t="n"/>
    </row>
    <row r="6" ht="18" customHeight="1">
      <c r="A6" s="12" t="n">
        <v>2</v>
      </c>
      <c r="B6" s="13" t="inlineStr"/>
      <c r="C6" s="13" t="inlineStr">
        <is>
          <t>Basecoat 2</t>
        </is>
      </c>
      <c r="D6" s="14" t="n"/>
      <c r="E6" s="14" t="n">
        <v>963</v>
      </c>
      <c r="F6" s="15" t="n"/>
      <c r="G6" s="15" t="n"/>
    </row>
    <row r="7" ht="18" customHeight="1">
      <c r="A7" s="8" t="n">
        <v>3</v>
      </c>
      <c r="B7" s="9" t="inlineStr"/>
      <c r="C7" s="9" t="inlineStr">
        <is>
          <t>Mati sun</t>
        </is>
      </c>
      <c r="D7" s="10" t="n"/>
      <c r="E7" s="10" t="n">
        <v>65</v>
      </c>
      <c r="F7" s="11" t="n"/>
      <c r="G7" s="11" t="n"/>
    </row>
    <row r="8" ht="18" customHeight="1">
      <c r="A8" s="12" t="n">
        <v>4</v>
      </c>
      <c r="B8" s="13" t="inlineStr"/>
      <c r="C8" s="13" t="inlineStr">
        <is>
          <t>Fiesta Maru Bo</t>
        </is>
      </c>
      <c r="D8" s="14" t="n"/>
      <c r="E8" s="14" t="n">
        <v>65</v>
      </c>
      <c r="F8" s="15" t="n"/>
      <c r="G8" s="15" t="n"/>
    </row>
    <row r="9" ht="18" customHeight="1">
      <c r="A9" s="8" t="n">
        <v>5</v>
      </c>
      <c r="B9" s="9" t="inlineStr"/>
      <c r="C9" s="9" t="inlineStr">
        <is>
          <t>Grego Dj</t>
        </is>
      </c>
      <c r="D9" s="10" t="n"/>
      <c r="E9" s="10" t="n">
        <v>25</v>
      </c>
      <c r="F9" s="11" t="n"/>
      <c r="G9" s="11" t="n"/>
    </row>
    <row r="10" ht="22" customHeight="1">
      <c r="A10" s="16" t="inlineStr">
        <is>
          <t>TOTAL INGRESOS</t>
        </is>
      </c>
      <c r="D10" s="17">
        <f>SUM(D5:D9)</f>
        <v/>
      </c>
      <c r="E10" s="17">
        <f>SUM(E5:E9)</f>
        <v/>
      </c>
      <c r="F10" s="18" t="n"/>
      <c r="G10" s="18" t="n"/>
    </row>
    <row r="11" ht="8" customHeight="1">
      <c r="A11" s="19" t="n"/>
      <c r="B11" s="19" t="n"/>
      <c r="C11" s="19" t="n"/>
      <c r="D11" s="19" t="n"/>
      <c r="E11" s="19" t="n"/>
      <c r="F11" s="19" t="n"/>
      <c r="G11" s="19" t="n"/>
    </row>
    <row r="12" ht="24" customHeight="1">
      <c r="A12" s="20" t="inlineStr">
        <is>
          <t>▼ EGRESOS FIJOS</t>
        </is>
      </c>
    </row>
    <row r="13" ht="20" customHeight="1">
      <c r="A13" s="21" t="inlineStr">
        <is>
          <t>#</t>
        </is>
      </c>
      <c r="B13" s="21" t="inlineStr">
        <is>
          <t>Description</t>
        </is>
      </c>
      <c r="C13" s="21" t="inlineStr">
        <is>
          <t>ARS</t>
        </is>
      </c>
      <c r="D13" s="21" t="inlineStr">
        <is>
          <t>USD</t>
        </is>
      </c>
      <c r="E13" s="21" t="inlineStr">
        <is>
          <t>Status</t>
        </is>
      </c>
      <c r="F13" s="21" t="inlineStr"/>
      <c r="G13" s="21" t="inlineStr"/>
    </row>
    <row r="14" ht="18" customHeight="1">
      <c r="A14" s="8" t="n">
        <v>1</v>
      </c>
      <c r="B14" s="9" t="inlineStr">
        <is>
          <t>Swiss</t>
        </is>
      </c>
      <c r="D14" s="10" t="n">
        <v>150000</v>
      </c>
      <c r="E14" s="10">
        <f>IF(D14&gt;0,D14/B$2,"")</f>
        <v/>
      </c>
      <c r="F14" s="9" t="inlineStr"/>
      <c r="G14" s="11" t="n"/>
    </row>
    <row r="15" ht="18" customHeight="1">
      <c r="A15" s="12" t="n">
        <v>2</v>
      </c>
      <c r="B15" s="13" t="inlineStr">
        <is>
          <t>Telecentro</t>
        </is>
      </c>
      <c r="D15" s="14" t="n">
        <v>36000</v>
      </c>
      <c r="E15" s="14">
        <f>IF(D15&gt;0,D15/B$2,"")</f>
        <v/>
      </c>
      <c r="F15" s="13" t="inlineStr"/>
      <c r="G15" s="15" t="n"/>
    </row>
    <row r="16" ht="18" customHeight="1">
      <c r="A16" s="8" t="n">
        <v>3</v>
      </c>
      <c r="B16" s="9" t="inlineStr">
        <is>
          <t>Fonoaudiologo</t>
        </is>
      </c>
      <c r="D16" s="10" t="n">
        <v>20000</v>
      </c>
      <c r="E16" s="10">
        <f>IF(D16&gt;0,D16/B$2,"")</f>
        <v/>
      </c>
      <c r="F16" s="9" t="inlineStr"/>
      <c r="G16" s="11" t="n"/>
    </row>
    <row r="17" ht="18" customHeight="1">
      <c r="A17" s="12" t="n">
        <v>4</v>
      </c>
      <c r="B17" s="13" t="inlineStr">
        <is>
          <t>Gym</t>
        </is>
      </c>
      <c r="D17" s="14" t="n">
        <v>23000</v>
      </c>
      <c r="E17" s="14">
        <f>IF(D17&gt;0,D17/B$2,"")</f>
        <v/>
      </c>
      <c r="F17" s="13" t="inlineStr"/>
      <c r="G17" s="15" t="n"/>
    </row>
    <row r="18" ht="18" customHeight="1">
      <c r="A18" s="8" t="n">
        <v>5</v>
      </c>
      <c r="B18" s="9" t="inlineStr">
        <is>
          <t>Asisa</t>
        </is>
      </c>
      <c r="D18" s="10" t="n"/>
      <c r="E18" s="10" t="n">
        <v>50</v>
      </c>
      <c r="F18" s="9" t="inlineStr"/>
      <c r="G18" s="11" t="n"/>
    </row>
    <row r="19" ht="18" customHeight="1">
      <c r="A19" s="12" t="n">
        <v>6</v>
      </c>
      <c r="B19" s="13" t="inlineStr">
        <is>
          <t>Santander Esp</t>
        </is>
      </c>
      <c r="D19" s="14" t="n"/>
      <c r="E19" s="14" t="n">
        <v>20</v>
      </c>
      <c r="F19" s="13" t="inlineStr"/>
      <c r="G19" s="15" t="n"/>
    </row>
    <row r="20" ht="18" customHeight="1">
      <c r="A20" s="8" t="n">
        <v>7</v>
      </c>
      <c r="B20" s="9" t="inlineStr">
        <is>
          <t>Olav Depto</t>
        </is>
      </c>
      <c r="D20" s="10" t="n">
        <v>100000</v>
      </c>
      <c r="E20" s="10">
        <f>IF(D20&gt;0,D20/B$2,"")</f>
        <v/>
      </c>
      <c r="F20" s="9" t="inlineStr"/>
      <c r="G20" s="11" t="n"/>
    </row>
    <row r="21" ht="18" customHeight="1">
      <c r="A21" s="12" t="n">
        <v>8</v>
      </c>
      <c r="B21" s="13" t="inlineStr">
        <is>
          <t>Comida Olav</t>
        </is>
      </c>
      <c r="D21" s="14" t="n">
        <v>500000</v>
      </c>
      <c r="E21" s="14">
        <f>IF(D21&gt;0,D21/B$2,"")</f>
        <v/>
      </c>
      <c r="F21" s="13" t="inlineStr"/>
      <c r="G21" s="15" t="n"/>
    </row>
    <row r="22" ht="22" customHeight="1">
      <c r="A22" s="16" t="inlineStr">
        <is>
          <t>TOTAL FIJOS</t>
        </is>
      </c>
      <c r="D22" s="17">
        <f>SUM(D14:D21)</f>
        <v/>
      </c>
      <c r="E22" s="17">
        <f>SUM(E14:E21)</f>
        <v/>
      </c>
      <c r="F22" s="18" t="n"/>
      <c r="G22" s="18" t="n"/>
    </row>
    <row r="23" ht="8" customHeight="1">
      <c r="A23" s="19" t="n"/>
      <c r="B23" s="19" t="n"/>
      <c r="C23" s="19" t="n"/>
      <c r="D23" s="19" t="n"/>
      <c r="E23" s="19" t="n"/>
      <c r="F23" s="19" t="n"/>
      <c r="G23" s="19" t="n"/>
    </row>
    <row r="24" ht="24" customHeight="1">
      <c r="A24" s="22" t="inlineStr">
        <is>
          <t>📋 GASTOS DEL MES</t>
        </is>
      </c>
    </row>
    <row r="25" ht="20" customHeight="1">
      <c r="A25" s="23" t="inlineStr">
        <is>
          <t>#</t>
        </is>
      </c>
      <c r="B25" s="23" t="inlineStr">
        <is>
          <t>Date</t>
        </is>
      </c>
      <c r="C25" s="23" t="inlineStr">
        <is>
          <t>Description</t>
        </is>
      </c>
      <c r="D25" s="23" t="inlineStr">
        <is>
          <t>ARS</t>
        </is>
      </c>
      <c r="E25" s="23" t="inlineStr">
        <is>
          <t>USD</t>
        </is>
      </c>
      <c r="F25" s="23" t="inlineStr">
        <is>
          <t>Category</t>
        </is>
      </c>
      <c r="G25" s="23" t="inlineStr">
        <is>
          <t>Payment</t>
        </is>
      </c>
    </row>
    <row r="26" ht="18" customHeight="1">
      <c r="A26" s="24" t="n"/>
      <c r="B26" s="24" t="n"/>
      <c r="C26" s="24" t="n"/>
      <c r="D26" s="24" t="n"/>
      <c r="E26" s="24" t="n"/>
      <c r="F26" s="24" t="n"/>
      <c r="G26" s="24" t="n"/>
    </row>
    <row r="27" ht="18" customHeight="1">
      <c r="A27" s="25" t="n"/>
      <c r="B27" s="25" t="n"/>
      <c r="C27" s="25" t="n"/>
      <c r="D27" s="25" t="n"/>
      <c r="E27" s="25" t="n"/>
      <c r="F27" s="25" t="n"/>
      <c r="G27" s="25" t="n"/>
    </row>
    <row r="28" ht="18" customHeight="1">
      <c r="A28" s="24" t="n"/>
      <c r="B28" s="24" t="n"/>
      <c r="C28" s="24" t="n"/>
      <c r="D28" s="24" t="n"/>
      <c r="E28" s="24" t="n"/>
      <c r="F28" s="24" t="n"/>
      <c r="G28" s="24" t="n"/>
    </row>
    <row r="29" ht="18" customHeight="1">
      <c r="A29" s="25" t="n"/>
      <c r="B29" s="25" t="n"/>
      <c r="C29" s="25" t="n"/>
      <c r="D29" s="25" t="n"/>
      <c r="E29" s="25" t="n"/>
      <c r="F29" s="25" t="n"/>
      <c r="G29" s="25" t="n"/>
    </row>
    <row r="30" ht="18" customHeight="1">
      <c r="A30" s="24" t="n"/>
      <c r="B30" s="24" t="n"/>
      <c r="C30" s="24" t="n"/>
      <c r="D30" s="24" t="n"/>
      <c r="E30" s="24" t="n"/>
      <c r="F30" s="24" t="n"/>
      <c r="G30" s="24" t="n"/>
    </row>
    <row r="31" ht="18" customHeight="1">
      <c r="A31" s="25" t="n"/>
      <c r="B31" s="25" t="n"/>
      <c r="C31" s="25" t="n"/>
      <c r="D31" s="25" t="n"/>
      <c r="E31" s="25" t="n"/>
      <c r="F31" s="25" t="n"/>
      <c r="G31" s="25" t="n"/>
    </row>
    <row r="32" ht="18" customHeight="1">
      <c r="A32" s="24" t="n"/>
      <c r="B32" s="24" t="n"/>
      <c r="C32" s="24" t="n"/>
      <c r="D32" s="24" t="n"/>
      <c r="E32" s="24" t="n"/>
      <c r="F32" s="24" t="n"/>
      <c r="G32" s="24" t="n"/>
    </row>
    <row r="33" ht="18" customHeight="1">
      <c r="A33" s="25" t="n"/>
      <c r="B33" s="25" t="n"/>
      <c r="C33" s="25" t="n"/>
      <c r="D33" s="25" t="n"/>
      <c r="E33" s="25" t="n"/>
      <c r="F33" s="25" t="n"/>
      <c r="G33" s="25" t="n"/>
    </row>
    <row r="34" ht="18" customHeight="1">
      <c r="A34" s="24" t="n"/>
      <c r="B34" s="24" t="n"/>
      <c r="C34" s="24" t="n"/>
      <c r="D34" s="24" t="n"/>
      <c r="E34" s="24" t="n"/>
      <c r="F34" s="24" t="n"/>
      <c r="G34" s="24" t="n"/>
    </row>
    <row r="35" ht="18" customHeight="1">
      <c r="A35" s="25" t="n"/>
      <c r="B35" s="25" t="n"/>
      <c r="C35" s="25" t="n"/>
      <c r="D35" s="25" t="n"/>
      <c r="E35" s="25" t="n"/>
      <c r="F35" s="25" t="n"/>
      <c r="G35" s="25" t="n"/>
    </row>
    <row r="36" ht="18" customHeight="1">
      <c r="A36" s="24" t="n"/>
      <c r="B36" s="24" t="n"/>
      <c r="C36" s="24" t="n"/>
      <c r="D36" s="24" t="n"/>
      <c r="E36" s="24" t="n"/>
      <c r="F36" s="24" t="n"/>
      <c r="G36" s="24" t="n"/>
    </row>
    <row r="37" ht="18" customHeight="1">
      <c r="A37" s="25" t="n"/>
      <c r="B37" s="25" t="n"/>
      <c r="C37" s="25" t="n"/>
      <c r="D37" s="25" t="n"/>
      <c r="E37" s="25" t="n"/>
      <c r="F37" s="25" t="n"/>
      <c r="G37" s="25" t="n"/>
    </row>
    <row r="38" ht="18" customHeight="1">
      <c r="A38" s="24" t="n"/>
      <c r="B38" s="24" t="n"/>
      <c r="C38" s="24" t="n"/>
      <c r="D38" s="24" t="n"/>
      <c r="E38" s="24" t="n"/>
      <c r="F38" s="24" t="n"/>
      <c r="G38" s="24" t="n"/>
    </row>
    <row r="39" ht="18" customHeight="1">
      <c r="A39" s="25" t="n"/>
      <c r="B39" s="25" t="n"/>
      <c r="C39" s="25" t="n"/>
      <c r="D39" s="25" t="n"/>
      <c r="E39" s="25" t="n"/>
      <c r="F39" s="25" t="n"/>
      <c r="G39" s="25" t="n"/>
    </row>
    <row r="40" ht="18" customHeight="1">
      <c r="A40" s="24" t="n"/>
      <c r="B40" s="24" t="n"/>
      <c r="C40" s="24" t="n"/>
      <c r="D40" s="24" t="n"/>
      <c r="E40" s="24" t="n"/>
      <c r="F40" s="24" t="n"/>
      <c r="G40" s="24" t="n"/>
    </row>
    <row r="41" ht="18" customHeight="1">
      <c r="A41" s="25" t="n"/>
      <c r="B41" s="25" t="n"/>
      <c r="C41" s="25" t="n"/>
      <c r="D41" s="25" t="n"/>
      <c r="E41" s="25" t="n"/>
      <c r="F41" s="25" t="n"/>
      <c r="G41" s="25" t="n"/>
    </row>
    <row r="42" ht="18" customHeight="1">
      <c r="A42" s="24" t="n"/>
      <c r="B42" s="24" t="n"/>
      <c r="C42" s="24" t="n"/>
      <c r="D42" s="24" t="n"/>
      <c r="E42" s="24" t="n"/>
      <c r="F42" s="24" t="n"/>
      <c r="G42" s="24" t="n"/>
    </row>
    <row r="43" ht="18" customHeight="1">
      <c r="A43" s="25" t="n"/>
      <c r="B43" s="25" t="n"/>
      <c r="C43" s="25" t="n"/>
      <c r="D43" s="25" t="n"/>
      <c r="E43" s="25" t="n"/>
      <c r="F43" s="25" t="n"/>
      <c r="G43" s="25" t="n"/>
    </row>
    <row r="44" ht="18" customHeight="1">
      <c r="A44" s="24" t="n"/>
      <c r="B44" s="24" t="n"/>
      <c r="C44" s="24" t="n"/>
      <c r="D44" s="24" t="n"/>
      <c r="E44" s="24" t="n"/>
      <c r="F44" s="24" t="n"/>
      <c r="G44" s="24" t="n"/>
    </row>
    <row r="45" ht="18" customHeight="1">
      <c r="A45" s="25" t="n"/>
      <c r="B45" s="25" t="n"/>
      <c r="C45" s="25" t="n"/>
      <c r="D45" s="25" t="n"/>
      <c r="E45" s="25" t="n"/>
      <c r="F45" s="25" t="n"/>
      <c r="G45" s="25" t="n"/>
    </row>
    <row r="46" ht="18" customHeight="1">
      <c r="A46" s="24" t="n"/>
      <c r="B46" s="24" t="n"/>
      <c r="C46" s="24" t="n"/>
      <c r="D46" s="24" t="n"/>
      <c r="E46" s="24" t="n"/>
      <c r="F46" s="24" t="n"/>
      <c r="G46" s="24" t="n"/>
    </row>
    <row r="47" ht="18" customHeight="1">
      <c r="A47" s="25" t="n"/>
      <c r="B47" s="25" t="n"/>
      <c r="C47" s="25" t="n"/>
      <c r="D47" s="25" t="n"/>
      <c r="E47" s="25" t="n"/>
      <c r="F47" s="25" t="n"/>
      <c r="G47" s="25" t="n"/>
    </row>
    <row r="48" ht="18" customHeight="1">
      <c r="A48" s="24" t="n"/>
      <c r="B48" s="24" t="n"/>
      <c r="C48" s="24" t="n"/>
      <c r="D48" s="24" t="n"/>
      <c r="E48" s="24" t="n"/>
      <c r="F48" s="24" t="n"/>
      <c r="G48" s="24" t="n"/>
    </row>
    <row r="49" ht="18" customHeight="1">
      <c r="A49" s="25" t="n"/>
      <c r="B49" s="25" t="n"/>
      <c r="C49" s="25" t="n"/>
      <c r="D49" s="25" t="n"/>
      <c r="E49" s="25" t="n"/>
      <c r="F49" s="25" t="n"/>
      <c r="G49" s="25" t="n"/>
    </row>
    <row r="50" ht="18" customHeight="1">
      <c r="A50" s="24" t="n"/>
      <c r="B50" s="24" t="n"/>
      <c r="C50" s="24" t="n"/>
      <c r="D50" s="24" t="n"/>
      <c r="E50" s="24" t="n"/>
      <c r="F50" s="24" t="n"/>
      <c r="G50" s="24" t="n"/>
    </row>
    <row r="51" ht="22" customHeight="1">
      <c r="A51" s="16" t="inlineStr">
        <is>
          <t>TOTAL VARIABLE</t>
        </is>
      </c>
      <c r="D51" s="17">
        <f>SUM(D26:D50)</f>
        <v/>
      </c>
      <c r="E51" s="17">
        <f>SUM(E26:E50)</f>
        <v/>
      </c>
      <c r="F51" s="18" t="n"/>
      <c r="G51" s="18" t="n"/>
    </row>
    <row r="52" ht="8" customHeight="1">
      <c r="A52" s="19" t="n"/>
      <c r="B52" s="19" t="n"/>
      <c r="C52" s="19" t="n"/>
      <c r="D52" s="19" t="n"/>
      <c r="E52" s="19" t="n"/>
      <c r="F52" s="19" t="n"/>
      <c r="G52" s="19" t="n"/>
    </row>
    <row r="53" ht="26" customHeight="1">
      <c r="A53" s="26" t="inlineStr">
        <is>
          <t>💰 BALANCE</t>
        </is>
      </c>
      <c r="D53" s="27">
        <f>D10-D22-D51</f>
        <v/>
      </c>
      <c r="E53" s="27">
        <f>E10-E22-E51</f>
        <v/>
      </c>
      <c r="F53" s="28" t="n"/>
      <c r="G53" s="28" t="n"/>
    </row>
  </sheetData>
  <mergeCells count="17">
    <mergeCell ref="A10:C10"/>
    <mergeCell ref="B21:C21"/>
    <mergeCell ref="B16:C16"/>
    <mergeCell ref="A1:G1"/>
    <mergeCell ref="B15:C15"/>
    <mergeCell ref="A3:G3"/>
    <mergeCell ref="B19:C19"/>
    <mergeCell ref="B20:C20"/>
    <mergeCell ref="A12:G12"/>
    <mergeCell ref="A22:C22"/>
    <mergeCell ref="A2"/>
    <mergeCell ref="B14:C14"/>
    <mergeCell ref="A24:G24"/>
    <mergeCell ref="A53:C53"/>
    <mergeCell ref="B17:C17"/>
    <mergeCell ref="B18:C18"/>
    <mergeCell ref="A51:C51"/>
  </mergeCells>
  <dataValidations count="3">
    <dataValidation sqref="F26:F50" showDropDown="0" showInputMessage="0" showErrorMessage="0" allowBlank="1" type="list">
      <formula1>"Food,Transport,Health,Utilities,Entertainment,Tax,Savings,Big Buy,Personal,Other"</formula1>
    </dataValidation>
    <dataValidation sqref="G26:G50" showDropDown="0" showInputMessage="0" showErrorMessage="0" allowBlank="1" type="list">
      <formula1>"Cash ARS,USD Cash,Wise,Binance,MercadoPago,Tarjeta"</formula1>
    </dataValidation>
    <dataValidation sqref="E14:E21" showDropDown="0" showInputMessage="0" showErrorMessage="0" allowBlank="1" type="list">
      <formula1>"Pagado,Pendiente,Auto"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2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 ht="30" customHeight="1">
      <c r="A1" s="1" t="inlineStr">
        <is>
          <t>💸 MAY 2025 — GASTOS MENSUALES</t>
        </is>
      </c>
    </row>
    <row r="2" ht="22" customHeight="1">
      <c r="A2" s="2" t="inlineStr">
        <is>
          <t>USD/ARS</t>
        </is>
      </c>
      <c r="B2" s="3" t="n">
        <v>1000</v>
      </c>
      <c r="C2" s="4" t="inlineStr">
        <is>
          <t>← update monthly</t>
        </is>
      </c>
      <c r="D2" s="5" t="n"/>
      <c r="E2" s="5" t="n"/>
      <c r="F2" s="5" t="n"/>
      <c r="G2" s="5" t="n"/>
    </row>
    <row r="3" ht="24" customHeight="1">
      <c r="A3" s="6" t="inlineStr">
        <is>
          <t>▲ INGRESOS</t>
        </is>
      </c>
    </row>
    <row r="4" ht="20" customHeight="1">
      <c r="A4" s="7" t="inlineStr">
        <is>
          <t>#</t>
        </is>
      </c>
      <c r="B4" s="7" t="inlineStr">
        <is>
          <t>Source</t>
        </is>
      </c>
      <c r="C4" s="7" t="inlineStr">
        <is>
          <t>Description</t>
        </is>
      </c>
      <c r="D4" s="7" t="inlineStr">
        <is>
          <t>ARS</t>
        </is>
      </c>
      <c r="E4" s="7" t="inlineStr">
        <is>
          <t>USD</t>
        </is>
      </c>
    </row>
    <row r="5" ht="18" customHeight="1">
      <c r="A5" s="8" t="n">
        <v>1</v>
      </c>
      <c r="B5" s="9" t="inlineStr"/>
      <c r="C5" s="9" t="inlineStr">
        <is>
          <t>Basecoat</t>
        </is>
      </c>
      <c r="D5" s="10" t="n"/>
      <c r="E5" s="10" t="n">
        <v>880</v>
      </c>
      <c r="F5" s="11" t="n"/>
      <c r="G5" s="11" t="n"/>
    </row>
    <row r="6" ht="18" customHeight="1">
      <c r="A6" s="12" t="n">
        <v>2</v>
      </c>
      <c r="B6" s="13" t="inlineStr"/>
      <c r="C6" s="13" t="inlineStr">
        <is>
          <t>Basecoat 2</t>
        </is>
      </c>
      <c r="D6" s="14" t="n"/>
      <c r="E6" s="14" t="n">
        <v>963</v>
      </c>
      <c r="F6" s="15" t="n"/>
      <c r="G6" s="15" t="n"/>
    </row>
    <row r="7" ht="22" customHeight="1">
      <c r="A7" s="16" t="inlineStr">
        <is>
          <t>TOTAL INGRESOS</t>
        </is>
      </c>
      <c r="D7" s="17">
        <f>SUM(D5:D6)</f>
        <v/>
      </c>
      <c r="E7" s="17">
        <f>SUM(E5:E6)</f>
        <v/>
      </c>
      <c r="F7" s="18" t="n"/>
      <c r="G7" s="18" t="n"/>
    </row>
    <row r="8" ht="8" customHeight="1">
      <c r="A8" s="19" t="n"/>
      <c r="B8" s="19" t="n"/>
      <c r="C8" s="19" t="n"/>
      <c r="D8" s="19" t="n"/>
      <c r="E8" s="19" t="n"/>
      <c r="F8" s="19" t="n"/>
      <c r="G8" s="19" t="n"/>
    </row>
    <row r="9" ht="24" customHeight="1">
      <c r="A9" s="20" t="inlineStr">
        <is>
          <t>▼ EGRESOS FIJOS</t>
        </is>
      </c>
    </row>
    <row r="10" ht="20" customHeight="1">
      <c r="A10" s="21" t="inlineStr">
        <is>
          <t>#</t>
        </is>
      </c>
      <c r="B10" s="21" t="inlineStr">
        <is>
          <t>Description</t>
        </is>
      </c>
      <c r="C10" s="21" t="inlineStr">
        <is>
          <t>ARS</t>
        </is>
      </c>
      <c r="D10" s="21" t="inlineStr">
        <is>
          <t>USD</t>
        </is>
      </c>
      <c r="E10" s="21" t="inlineStr">
        <is>
          <t>Status</t>
        </is>
      </c>
      <c r="F10" s="21" t="inlineStr"/>
      <c r="G10" s="21" t="inlineStr"/>
    </row>
    <row r="11" ht="18" customHeight="1">
      <c r="A11" s="8" t="n">
        <v>1</v>
      </c>
      <c r="B11" s="9" t="inlineStr">
        <is>
          <t>Swiss</t>
        </is>
      </c>
      <c r="D11" s="10" t="n">
        <v>150000</v>
      </c>
      <c r="E11" s="10">
        <f>IF(D11&gt;0,D11/B$2,"")</f>
        <v/>
      </c>
      <c r="F11" s="9" t="inlineStr"/>
      <c r="G11" s="11" t="n"/>
    </row>
    <row r="12" ht="18" customHeight="1">
      <c r="A12" s="12" t="n">
        <v>2</v>
      </c>
      <c r="B12" s="13" t="inlineStr">
        <is>
          <t>Fonoaudiologo</t>
        </is>
      </c>
      <c r="D12" s="14" t="n">
        <v>20000</v>
      </c>
      <c r="E12" s="14">
        <f>IF(D12&gt;0,D12/B$2,"")</f>
        <v/>
      </c>
      <c r="F12" s="13" t="inlineStr"/>
      <c r="G12" s="15" t="n"/>
    </row>
    <row r="13" ht="18" customHeight="1">
      <c r="A13" s="8" t="n">
        <v>3</v>
      </c>
      <c r="B13" s="9" t="inlineStr">
        <is>
          <t>Gym</t>
        </is>
      </c>
      <c r="D13" s="10" t="n">
        <v>23000</v>
      </c>
      <c r="E13" s="10">
        <f>IF(D13&gt;0,D13/B$2,"")</f>
        <v/>
      </c>
      <c r="F13" s="9" t="inlineStr"/>
      <c r="G13" s="11" t="n"/>
    </row>
    <row r="14" ht="18" customHeight="1">
      <c r="A14" s="12" t="n">
        <v>4</v>
      </c>
      <c r="B14" s="13" t="inlineStr">
        <is>
          <t>Asisa</t>
        </is>
      </c>
      <c r="D14" s="14" t="n"/>
      <c r="E14" s="14" t="n">
        <v>50</v>
      </c>
      <c r="F14" s="13" t="inlineStr"/>
      <c r="G14" s="15" t="n"/>
    </row>
    <row r="15" ht="18" customHeight="1">
      <c r="A15" s="8" t="n">
        <v>5</v>
      </c>
      <c r="B15" s="9" t="inlineStr">
        <is>
          <t>Santander Esp</t>
        </is>
      </c>
      <c r="D15" s="10" t="n"/>
      <c r="E15" s="10" t="n">
        <v>20</v>
      </c>
      <c r="F15" s="9" t="inlineStr"/>
      <c r="G15" s="11" t="n"/>
    </row>
    <row r="16" ht="18" customHeight="1">
      <c r="A16" s="12" t="n">
        <v>6</v>
      </c>
      <c r="B16" s="13" t="inlineStr">
        <is>
          <t>Olav Depto</t>
        </is>
      </c>
      <c r="D16" s="14" t="n">
        <v>100000</v>
      </c>
      <c r="E16" s="14">
        <f>IF(D16&gt;0,D16/B$2,"")</f>
        <v/>
      </c>
      <c r="F16" s="13" t="inlineStr"/>
      <c r="G16" s="15" t="n"/>
    </row>
    <row r="17" ht="18" customHeight="1">
      <c r="A17" s="8" t="n">
        <v>7</v>
      </c>
      <c r="B17" s="9" t="inlineStr">
        <is>
          <t>Comida Olav</t>
        </is>
      </c>
      <c r="D17" s="10" t="n">
        <v>500000</v>
      </c>
      <c r="E17" s="10">
        <f>IF(D17&gt;0,D17/B$2,"")</f>
        <v/>
      </c>
      <c r="F17" s="9" t="inlineStr"/>
      <c r="G17" s="11" t="n"/>
    </row>
    <row r="18" ht="18" customHeight="1">
      <c r="A18" s="12" t="n">
        <v>8</v>
      </c>
      <c r="B18" s="13" t="inlineStr">
        <is>
          <t>Psico</t>
        </is>
      </c>
      <c r="D18" s="14" t="n">
        <v>30000</v>
      </c>
      <c r="E18" s="14">
        <f>IF(D18&gt;0,D18/B$2,"")</f>
        <v/>
      </c>
      <c r="F18" s="13" t="inlineStr"/>
      <c r="G18" s="15" t="n"/>
    </row>
    <row r="19" ht="22" customHeight="1">
      <c r="A19" s="16" t="inlineStr">
        <is>
          <t>TOTAL FIJOS</t>
        </is>
      </c>
      <c r="D19" s="17">
        <f>SUM(D11:D18)</f>
        <v/>
      </c>
      <c r="E19" s="17">
        <f>SUM(E11:E18)</f>
        <v/>
      </c>
      <c r="F19" s="18" t="n"/>
      <c r="G19" s="18" t="n"/>
    </row>
    <row r="20" ht="8" customHeight="1">
      <c r="A20" s="19" t="n"/>
      <c r="B20" s="19" t="n"/>
      <c r="C20" s="19" t="n"/>
      <c r="D20" s="19" t="n"/>
      <c r="E20" s="19" t="n"/>
      <c r="F20" s="19" t="n"/>
      <c r="G20" s="19" t="n"/>
    </row>
    <row r="21" ht="24" customHeight="1">
      <c r="A21" s="22" t="inlineStr">
        <is>
          <t>📋 GASTOS DEL MES</t>
        </is>
      </c>
    </row>
    <row r="22" ht="20" customHeight="1">
      <c r="A22" s="23" t="inlineStr">
        <is>
          <t>#</t>
        </is>
      </c>
      <c r="B22" s="23" t="inlineStr">
        <is>
          <t>Date</t>
        </is>
      </c>
      <c r="C22" s="23" t="inlineStr">
        <is>
          <t>Description</t>
        </is>
      </c>
      <c r="D22" s="23" t="inlineStr">
        <is>
          <t>ARS</t>
        </is>
      </c>
      <c r="E22" s="23" t="inlineStr">
        <is>
          <t>USD</t>
        </is>
      </c>
      <c r="F22" s="23" t="inlineStr">
        <is>
          <t>Category</t>
        </is>
      </c>
      <c r="G22" s="23" t="inlineStr">
        <is>
          <t>Payment</t>
        </is>
      </c>
    </row>
    <row r="23" ht="18" customHeight="1">
      <c r="A23" s="8" t="n">
        <v>1</v>
      </c>
      <c r="B23" s="8" t="inlineStr">
        <is>
          <t>02</t>
        </is>
      </c>
      <c r="C23" s="9" t="inlineStr">
        <is>
          <t>Bizcochos</t>
        </is>
      </c>
      <c r="D23" s="10" t="n">
        <v>5300</v>
      </c>
      <c r="E23" s="10">
        <f>IF(D23&gt;0,D23/B$2,"")</f>
        <v/>
      </c>
      <c r="F23" s="9" t="inlineStr"/>
      <c r="G23" s="9" t="inlineStr"/>
    </row>
    <row r="24" ht="18" customHeight="1">
      <c r="A24" s="12" t="n">
        <v>2</v>
      </c>
      <c r="B24" s="12" t="inlineStr">
        <is>
          <t>04</t>
        </is>
      </c>
      <c r="C24" s="13" t="inlineStr">
        <is>
          <t>Pietra milanesas</t>
        </is>
      </c>
      <c r="D24" s="14" t="n">
        <v>13400</v>
      </c>
      <c r="E24" s="14">
        <f>IF(D24&gt;0,D24/B$2,"")</f>
        <v/>
      </c>
      <c r="F24" s="13" t="inlineStr"/>
      <c r="G24" s="13" t="inlineStr"/>
    </row>
    <row r="25" ht="18" customHeight="1">
      <c r="A25" s="8" t="n">
        <v>3</v>
      </c>
      <c r="B25" s="8" t="inlineStr">
        <is>
          <t>05</t>
        </is>
      </c>
      <c r="C25" s="9" t="inlineStr">
        <is>
          <t>Psico mari</t>
        </is>
      </c>
      <c r="D25" s="10" t="n">
        <v>20000</v>
      </c>
      <c r="E25" s="10">
        <f>IF(D25&gt;0,D25/B$2,"")</f>
        <v/>
      </c>
      <c r="F25" s="9" t="inlineStr"/>
      <c r="G25" s="9" t="inlineStr"/>
    </row>
    <row r="26" ht="18" customHeight="1">
      <c r="A26" s="12" t="n">
        <v>4</v>
      </c>
      <c r="B26" s="12" t="inlineStr">
        <is>
          <t>06</t>
        </is>
      </c>
      <c r="C26" s="13" t="inlineStr">
        <is>
          <t>Psico 2</t>
        </is>
      </c>
      <c r="D26" s="14" t="n">
        <v>20000</v>
      </c>
      <c r="E26" s="14">
        <f>IF(D26&gt;0,D26/B$2,"")</f>
        <v/>
      </c>
      <c r="F26" s="13" t="inlineStr"/>
      <c r="G26" s="13" t="inlineStr"/>
    </row>
    <row r="27" ht="18" customHeight="1">
      <c r="A27" s="8" t="n">
        <v>5</v>
      </c>
      <c r="B27" s="8" t="inlineStr">
        <is>
          <t>07</t>
        </is>
      </c>
      <c r="C27" s="9" t="inlineStr">
        <is>
          <t>Psico 3 swiss</t>
        </is>
      </c>
      <c r="D27" s="10" t="n">
        <v>13500</v>
      </c>
      <c r="E27" s="10">
        <f>IF(D27&gt;0,D27/B$2,"")</f>
        <v/>
      </c>
      <c r="F27" s="9" t="inlineStr"/>
      <c r="G27" s="9" t="inlineStr"/>
    </row>
    <row r="28" ht="18" customHeight="1">
      <c r="A28" s="25" t="n"/>
      <c r="B28" s="25" t="n"/>
      <c r="C28" s="25" t="n"/>
      <c r="D28" s="25" t="n"/>
      <c r="E28" s="25" t="n"/>
      <c r="F28" s="25" t="n"/>
      <c r="G28" s="25" t="n"/>
    </row>
    <row r="29" ht="18" customHeight="1">
      <c r="A29" s="24" t="n"/>
      <c r="B29" s="24" t="n"/>
      <c r="C29" s="24" t="n"/>
      <c r="D29" s="24" t="n"/>
      <c r="E29" s="24" t="n"/>
      <c r="F29" s="24" t="n"/>
      <c r="G29" s="24" t="n"/>
    </row>
    <row r="30" ht="18" customHeight="1">
      <c r="A30" s="25" t="n"/>
      <c r="B30" s="25" t="n"/>
      <c r="C30" s="25" t="n"/>
      <c r="D30" s="25" t="n"/>
      <c r="E30" s="25" t="n"/>
      <c r="F30" s="25" t="n"/>
      <c r="G30" s="25" t="n"/>
    </row>
    <row r="31" ht="18" customHeight="1">
      <c r="A31" s="24" t="n"/>
      <c r="B31" s="24" t="n"/>
      <c r="C31" s="24" t="n"/>
      <c r="D31" s="24" t="n"/>
      <c r="E31" s="24" t="n"/>
      <c r="F31" s="24" t="n"/>
      <c r="G31" s="24" t="n"/>
    </row>
    <row r="32" ht="18" customHeight="1">
      <c r="A32" s="25" t="n"/>
      <c r="B32" s="25" t="n"/>
      <c r="C32" s="25" t="n"/>
      <c r="D32" s="25" t="n"/>
      <c r="E32" s="25" t="n"/>
      <c r="F32" s="25" t="n"/>
      <c r="G32" s="25" t="n"/>
    </row>
    <row r="33" ht="18" customHeight="1">
      <c r="A33" s="24" t="n"/>
      <c r="B33" s="24" t="n"/>
      <c r="C33" s="24" t="n"/>
      <c r="D33" s="24" t="n"/>
      <c r="E33" s="24" t="n"/>
      <c r="F33" s="24" t="n"/>
      <c r="G33" s="24" t="n"/>
    </row>
    <row r="34" ht="18" customHeight="1">
      <c r="A34" s="25" t="n"/>
      <c r="B34" s="25" t="n"/>
      <c r="C34" s="25" t="n"/>
      <c r="D34" s="25" t="n"/>
      <c r="E34" s="25" t="n"/>
      <c r="F34" s="25" t="n"/>
      <c r="G34" s="25" t="n"/>
    </row>
    <row r="35" ht="18" customHeight="1">
      <c r="A35" s="24" t="n"/>
      <c r="B35" s="24" t="n"/>
      <c r="C35" s="24" t="n"/>
      <c r="D35" s="24" t="n"/>
      <c r="E35" s="24" t="n"/>
      <c r="F35" s="24" t="n"/>
      <c r="G35" s="24" t="n"/>
    </row>
    <row r="36" ht="18" customHeight="1">
      <c r="A36" s="25" t="n"/>
      <c r="B36" s="25" t="n"/>
      <c r="C36" s="25" t="n"/>
      <c r="D36" s="25" t="n"/>
      <c r="E36" s="25" t="n"/>
      <c r="F36" s="25" t="n"/>
      <c r="G36" s="25" t="n"/>
    </row>
    <row r="37" ht="18" customHeight="1">
      <c r="A37" s="24" t="n"/>
      <c r="B37" s="24" t="n"/>
      <c r="C37" s="24" t="n"/>
      <c r="D37" s="24" t="n"/>
      <c r="E37" s="24" t="n"/>
      <c r="F37" s="24" t="n"/>
      <c r="G37" s="24" t="n"/>
    </row>
    <row r="38" ht="18" customHeight="1">
      <c r="A38" s="25" t="n"/>
      <c r="B38" s="25" t="n"/>
      <c r="C38" s="25" t="n"/>
      <c r="D38" s="25" t="n"/>
      <c r="E38" s="25" t="n"/>
      <c r="F38" s="25" t="n"/>
      <c r="G38" s="25" t="n"/>
    </row>
    <row r="39" ht="18" customHeight="1">
      <c r="A39" s="24" t="n"/>
      <c r="B39" s="24" t="n"/>
      <c r="C39" s="24" t="n"/>
      <c r="D39" s="24" t="n"/>
      <c r="E39" s="24" t="n"/>
      <c r="F39" s="24" t="n"/>
      <c r="G39" s="24" t="n"/>
    </row>
    <row r="40" ht="18" customHeight="1">
      <c r="A40" s="25" t="n"/>
      <c r="B40" s="25" t="n"/>
      <c r="C40" s="25" t="n"/>
      <c r="D40" s="25" t="n"/>
      <c r="E40" s="25" t="n"/>
      <c r="F40" s="25" t="n"/>
      <c r="G40" s="25" t="n"/>
    </row>
    <row r="41" ht="18" customHeight="1">
      <c r="A41" s="24" t="n"/>
      <c r="B41" s="24" t="n"/>
      <c r="C41" s="24" t="n"/>
      <c r="D41" s="24" t="n"/>
      <c r="E41" s="24" t="n"/>
      <c r="F41" s="24" t="n"/>
      <c r="G41" s="24" t="n"/>
    </row>
    <row r="42" ht="18" customHeight="1">
      <c r="A42" s="25" t="n"/>
      <c r="B42" s="25" t="n"/>
      <c r="C42" s="25" t="n"/>
      <c r="D42" s="25" t="n"/>
      <c r="E42" s="25" t="n"/>
      <c r="F42" s="25" t="n"/>
      <c r="G42" s="25" t="n"/>
    </row>
    <row r="43" ht="18" customHeight="1">
      <c r="A43" s="24" t="n"/>
      <c r="B43" s="24" t="n"/>
      <c r="C43" s="24" t="n"/>
      <c r="D43" s="24" t="n"/>
      <c r="E43" s="24" t="n"/>
      <c r="F43" s="24" t="n"/>
      <c r="G43" s="24" t="n"/>
    </row>
    <row r="44" ht="18" customHeight="1">
      <c r="A44" s="25" t="n"/>
      <c r="B44" s="25" t="n"/>
      <c r="C44" s="25" t="n"/>
      <c r="D44" s="25" t="n"/>
      <c r="E44" s="25" t="n"/>
      <c r="F44" s="25" t="n"/>
      <c r="G44" s="25" t="n"/>
    </row>
    <row r="45" ht="18" customHeight="1">
      <c r="A45" s="24" t="n"/>
      <c r="B45" s="24" t="n"/>
      <c r="C45" s="24" t="n"/>
      <c r="D45" s="24" t="n"/>
      <c r="E45" s="24" t="n"/>
      <c r="F45" s="24" t="n"/>
      <c r="G45" s="24" t="n"/>
    </row>
    <row r="46" ht="18" customHeight="1">
      <c r="A46" s="25" t="n"/>
      <c r="B46" s="25" t="n"/>
      <c r="C46" s="25" t="n"/>
      <c r="D46" s="25" t="n"/>
      <c r="E46" s="25" t="n"/>
      <c r="F46" s="25" t="n"/>
      <c r="G46" s="25" t="n"/>
    </row>
    <row r="47" ht="18" customHeight="1">
      <c r="A47" s="24" t="n"/>
      <c r="B47" s="24" t="n"/>
      <c r="C47" s="24" t="n"/>
      <c r="D47" s="24" t="n"/>
      <c r="E47" s="24" t="n"/>
      <c r="F47" s="24" t="n"/>
      <c r="G47" s="24" t="n"/>
    </row>
    <row r="48" ht="22" customHeight="1">
      <c r="A48" s="16" t="inlineStr">
        <is>
          <t>TOTAL VARIABLE</t>
        </is>
      </c>
      <c r="D48" s="17">
        <f>SUM(D23:D47)</f>
        <v/>
      </c>
      <c r="E48" s="17">
        <f>SUM(E23:E47)</f>
        <v/>
      </c>
      <c r="F48" s="18" t="n"/>
      <c r="G48" s="18" t="n"/>
    </row>
    <row r="49" ht="8" customHeight="1">
      <c r="A49" s="19" t="n"/>
      <c r="B49" s="19" t="n"/>
      <c r="C49" s="19" t="n"/>
      <c r="D49" s="19" t="n"/>
      <c r="E49" s="19" t="n"/>
      <c r="F49" s="19" t="n"/>
      <c r="G49" s="19" t="n"/>
    </row>
    <row r="50" ht="26" customHeight="1">
      <c r="A50" s="26" t="inlineStr">
        <is>
          <t>💰 BALANCE</t>
        </is>
      </c>
      <c r="D50" s="27">
        <f>D7-D19-D48</f>
        <v/>
      </c>
      <c r="E50" s="27">
        <f>E7-E19-E48</f>
        <v/>
      </c>
      <c r="F50" s="28" t="n"/>
      <c r="G50" s="28" t="n"/>
    </row>
  </sheetData>
  <mergeCells count="17">
    <mergeCell ref="B13:C13"/>
    <mergeCell ref="A50:C50"/>
    <mergeCell ref="B16:C16"/>
    <mergeCell ref="A1:G1"/>
    <mergeCell ref="B15:C15"/>
    <mergeCell ref="A9:G9"/>
    <mergeCell ref="B11:C11"/>
    <mergeCell ref="A19:C19"/>
    <mergeCell ref="A3:G3"/>
    <mergeCell ref="A21:G21"/>
    <mergeCell ref="A2"/>
    <mergeCell ref="B14:C14"/>
    <mergeCell ref="B17:C17"/>
    <mergeCell ref="B18:C18"/>
    <mergeCell ref="A7:C7"/>
    <mergeCell ref="A48:C48"/>
    <mergeCell ref="B12:C12"/>
  </mergeCells>
  <dataValidations count="3">
    <dataValidation sqref="F23:F47" showDropDown="0" showInputMessage="0" showErrorMessage="0" allowBlank="1" type="list">
      <formula1>"Food,Transport,Health,Utilities,Entertainment,Tax,Savings,Big Buy,Personal,Other"</formula1>
    </dataValidation>
    <dataValidation sqref="G23:G47" showDropDown="0" showInputMessage="0" showErrorMessage="0" allowBlank="1" type="list">
      <formula1>"Cash ARS,USD Cash,Wise,Binance,MercadoPago,Tarjeta"</formula1>
    </dataValidation>
    <dataValidation sqref="E11:E18" showDropDown="0" showInputMessage="0" showErrorMessage="0" allowBlank="1" type="list">
      <formula1>"Pagado,Pendiente,Auto"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2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 ht="30" customHeight="1">
      <c r="A1" s="1" t="inlineStr">
        <is>
          <t>💸 JUN 2025 — GASTOS MENSUALES</t>
        </is>
      </c>
    </row>
    <row r="2" ht="22" customHeight="1">
      <c r="A2" s="2" t="inlineStr">
        <is>
          <t>USD/ARS</t>
        </is>
      </c>
      <c r="B2" s="3" t="n">
        <v>1100</v>
      </c>
      <c r="C2" s="4" t="inlineStr">
        <is>
          <t>← update monthly</t>
        </is>
      </c>
      <c r="D2" s="5" t="n"/>
      <c r="E2" s="5" t="n"/>
      <c r="F2" s="5" t="n"/>
      <c r="G2" s="5" t="n"/>
    </row>
    <row r="3" ht="24" customHeight="1">
      <c r="A3" s="6" t="inlineStr">
        <is>
          <t>▲ INGRESOS</t>
        </is>
      </c>
    </row>
    <row r="4" ht="20" customHeight="1">
      <c r="A4" s="7" t="inlineStr">
        <is>
          <t>#</t>
        </is>
      </c>
      <c r="B4" s="7" t="inlineStr">
        <is>
          <t>Source</t>
        </is>
      </c>
      <c r="C4" s="7" t="inlineStr">
        <is>
          <t>Description</t>
        </is>
      </c>
      <c r="D4" s="7" t="inlineStr">
        <is>
          <t>ARS</t>
        </is>
      </c>
      <c r="E4" s="7" t="inlineStr">
        <is>
          <t>USD</t>
        </is>
      </c>
    </row>
    <row r="5" ht="18" customHeight="1">
      <c r="A5" s="8" t="n">
        <v>1</v>
      </c>
      <c r="B5" s="9" t="inlineStr"/>
      <c r="C5" s="9" t="inlineStr">
        <is>
          <t>Basecoat</t>
        </is>
      </c>
      <c r="D5" s="10" t="n"/>
      <c r="E5" s="10" t="n">
        <v>880</v>
      </c>
      <c r="F5" s="11" t="n"/>
      <c r="G5" s="11" t="n"/>
    </row>
    <row r="6" ht="18" customHeight="1">
      <c r="A6" s="12" t="n">
        <v>2</v>
      </c>
      <c r="B6" s="13" t="inlineStr"/>
      <c r="C6" s="13" t="inlineStr">
        <is>
          <t>Basecoat 2</t>
        </is>
      </c>
      <c r="D6" s="14" t="n"/>
      <c r="E6" s="14" t="n">
        <v>963</v>
      </c>
      <c r="F6" s="15" t="n"/>
      <c r="G6" s="15" t="n"/>
    </row>
    <row r="7" ht="22" customHeight="1">
      <c r="A7" s="16" t="inlineStr">
        <is>
          <t>TOTAL INGRESOS</t>
        </is>
      </c>
      <c r="D7" s="17">
        <f>SUM(D5:D6)</f>
        <v/>
      </c>
      <c r="E7" s="17">
        <f>SUM(E5:E6)</f>
        <v/>
      </c>
      <c r="F7" s="18" t="n"/>
      <c r="G7" s="18" t="n"/>
    </row>
    <row r="8" ht="8" customHeight="1">
      <c r="A8" s="19" t="n"/>
      <c r="B8" s="19" t="n"/>
      <c r="C8" s="19" t="n"/>
      <c r="D8" s="19" t="n"/>
      <c r="E8" s="19" t="n"/>
      <c r="F8" s="19" t="n"/>
      <c r="G8" s="19" t="n"/>
    </row>
    <row r="9" ht="24" customHeight="1">
      <c r="A9" s="20" t="inlineStr">
        <is>
          <t>▼ EGRESOS FIJOS</t>
        </is>
      </c>
    </row>
    <row r="10" ht="20" customHeight="1">
      <c r="A10" s="21" t="inlineStr">
        <is>
          <t>#</t>
        </is>
      </c>
      <c r="B10" s="21" t="inlineStr">
        <is>
          <t>Description</t>
        </is>
      </c>
      <c r="C10" s="21" t="inlineStr">
        <is>
          <t>ARS</t>
        </is>
      </c>
      <c r="D10" s="21" t="inlineStr">
        <is>
          <t>USD</t>
        </is>
      </c>
      <c r="E10" s="21" t="inlineStr">
        <is>
          <t>Status</t>
        </is>
      </c>
      <c r="F10" s="21" t="inlineStr"/>
      <c r="G10" s="21" t="inlineStr"/>
    </row>
    <row r="11" ht="18" customHeight="1">
      <c r="A11" s="8" t="n">
        <v>1</v>
      </c>
      <c r="B11" s="9" t="inlineStr">
        <is>
          <t>Swiss</t>
        </is>
      </c>
      <c r="D11" s="10" t="n">
        <v>150000</v>
      </c>
      <c r="E11" s="10">
        <f>IF(D11&gt;0,D11/B$2,"")</f>
        <v/>
      </c>
      <c r="F11" s="9" t="inlineStr"/>
      <c r="G11" s="11" t="n"/>
    </row>
    <row r="12" ht="18" customHeight="1">
      <c r="A12" s="12" t="n">
        <v>2</v>
      </c>
      <c r="B12" s="13" t="inlineStr">
        <is>
          <t>Fonoaudiologo</t>
        </is>
      </c>
      <c r="D12" s="14" t="n">
        <v>20000</v>
      </c>
      <c r="E12" s="14">
        <f>IF(D12&gt;0,D12/B$2,"")</f>
        <v/>
      </c>
      <c r="F12" s="13" t="inlineStr"/>
      <c r="G12" s="15" t="n"/>
    </row>
    <row r="13" ht="18" customHeight="1">
      <c r="A13" s="8" t="n">
        <v>3</v>
      </c>
      <c r="B13" s="9" t="inlineStr">
        <is>
          <t>Gym</t>
        </is>
      </c>
      <c r="D13" s="10" t="n">
        <v>30000</v>
      </c>
      <c r="E13" s="10">
        <f>IF(D13&gt;0,D13/B$2,"")</f>
        <v/>
      </c>
      <c r="F13" s="9" t="inlineStr"/>
      <c r="G13" s="11" t="n"/>
    </row>
    <row r="14" ht="18" customHeight="1">
      <c r="A14" s="12" t="n">
        <v>4</v>
      </c>
      <c r="B14" s="13" t="inlineStr">
        <is>
          <t>Asisa</t>
        </is>
      </c>
      <c r="D14" s="14" t="n"/>
      <c r="E14" s="14" t="n">
        <v>50</v>
      </c>
      <c r="F14" s="13" t="inlineStr"/>
      <c r="G14" s="15" t="n"/>
    </row>
    <row r="15" ht="18" customHeight="1">
      <c r="A15" s="8" t="n">
        <v>5</v>
      </c>
      <c r="B15" s="9" t="inlineStr">
        <is>
          <t>Santander Esp</t>
        </is>
      </c>
      <c r="D15" s="10" t="n"/>
      <c r="E15" s="10" t="n">
        <v>20</v>
      </c>
      <c r="F15" s="9" t="inlineStr"/>
      <c r="G15" s="11" t="n"/>
    </row>
    <row r="16" ht="18" customHeight="1">
      <c r="A16" s="12" t="n">
        <v>6</v>
      </c>
      <c r="B16" s="13" t="inlineStr">
        <is>
          <t>Olav Depto</t>
        </is>
      </c>
      <c r="D16" s="14" t="n">
        <v>100000</v>
      </c>
      <c r="E16" s="14">
        <f>IF(D16&gt;0,D16/B$2,"")</f>
        <v/>
      </c>
      <c r="F16" s="13" t="inlineStr"/>
      <c r="G16" s="15" t="n"/>
    </row>
    <row r="17" ht="18" customHeight="1">
      <c r="A17" s="8" t="n">
        <v>7</v>
      </c>
      <c r="B17" s="9" t="inlineStr">
        <is>
          <t>Comida Olav</t>
        </is>
      </c>
      <c r="D17" s="10" t="n">
        <v>500000</v>
      </c>
      <c r="E17" s="10">
        <f>IF(D17&gt;0,D17/B$2,"")</f>
        <v/>
      </c>
      <c r="F17" s="9" t="inlineStr"/>
      <c r="G17" s="11" t="n"/>
    </row>
    <row r="18" ht="18" customHeight="1">
      <c r="A18" s="12" t="n">
        <v>8</v>
      </c>
      <c r="B18" s="13" t="inlineStr">
        <is>
          <t>Psico x4</t>
        </is>
      </c>
      <c r="D18" s="14" t="n">
        <v>42000</v>
      </c>
      <c r="E18" s="14">
        <f>IF(D18&gt;0,D18/B$2,"")</f>
        <v/>
      </c>
      <c r="F18" s="13" t="inlineStr"/>
      <c r="G18" s="15" t="n"/>
    </row>
    <row r="19" ht="22" customHeight="1">
      <c r="A19" s="16" t="inlineStr">
        <is>
          <t>TOTAL FIJOS</t>
        </is>
      </c>
      <c r="D19" s="17">
        <f>SUM(D11:D18)</f>
        <v/>
      </c>
      <c r="E19" s="17">
        <f>SUM(E11:E18)</f>
        <v/>
      </c>
      <c r="F19" s="18" t="n"/>
      <c r="G19" s="18" t="n"/>
    </row>
    <row r="20" ht="8" customHeight="1">
      <c r="A20" s="19" t="n"/>
      <c r="B20" s="19" t="n"/>
      <c r="C20" s="19" t="n"/>
      <c r="D20" s="19" t="n"/>
      <c r="E20" s="19" t="n"/>
      <c r="F20" s="19" t="n"/>
      <c r="G20" s="19" t="n"/>
    </row>
    <row r="21" ht="24" customHeight="1">
      <c r="A21" s="22" t="inlineStr">
        <is>
          <t>📋 GASTOS DEL MES</t>
        </is>
      </c>
    </row>
    <row r="22" ht="20" customHeight="1">
      <c r="A22" s="23" t="inlineStr">
        <is>
          <t>#</t>
        </is>
      </c>
      <c r="B22" s="23" t="inlineStr">
        <is>
          <t>Date</t>
        </is>
      </c>
      <c r="C22" s="23" t="inlineStr">
        <is>
          <t>Description</t>
        </is>
      </c>
      <c r="D22" s="23" t="inlineStr">
        <is>
          <t>ARS</t>
        </is>
      </c>
      <c r="E22" s="23" t="inlineStr">
        <is>
          <t>USD</t>
        </is>
      </c>
      <c r="F22" s="23" t="inlineStr">
        <is>
          <t>Category</t>
        </is>
      </c>
      <c r="G22" s="23" t="inlineStr">
        <is>
          <t>Payment</t>
        </is>
      </c>
    </row>
    <row r="23" ht="18" customHeight="1">
      <c r="A23" s="8" t="n">
        <v>1</v>
      </c>
      <c r="B23" s="8" t="inlineStr">
        <is>
          <t>02</t>
        </is>
      </c>
      <c r="C23" s="9" t="inlineStr">
        <is>
          <t>Bizcochos</t>
        </is>
      </c>
      <c r="D23" s="10" t="n">
        <v>5300</v>
      </c>
      <c r="E23" s="10">
        <f>IF(D23&gt;0,D23/B$2,"")</f>
        <v/>
      </c>
      <c r="F23" s="9" t="inlineStr"/>
      <c r="G23" s="9" t="inlineStr"/>
    </row>
    <row r="24" ht="18" customHeight="1">
      <c r="A24" s="12" t="n">
        <v>2</v>
      </c>
      <c r="B24" s="12" t="inlineStr">
        <is>
          <t>03</t>
        </is>
      </c>
      <c r="C24" s="13" t="inlineStr">
        <is>
          <t>Crazy cheese</t>
        </is>
      </c>
      <c r="D24" s="14" t="n">
        <v>18000</v>
      </c>
      <c r="E24" s="14">
        <f>IF(D24&gt;0,D24/B$2,"")</f>
        <v/>
      </c>
      <c r="F24" s="13" t="inlineStr"/>
      <c r="G24" s="13" t="inlineStr"/>
    </row>
    <row r="25" ht="18" customHeight="1">
      <c r="A25" s="24" t="n"/>
      <c r="B25" s="24" t="n"/>
      <c r="C25" s="24" t="n"/>
      <c r="D25" s="24" t="n"/>
      <c r="E25" s="24" t="n"/>
      <c r="F25" s="24" t="n"/>
      <c r="G25" s="24" t="n"/>
    </row>
    <row r="26" ht="18" customHeight="1">
      <c r="A26" s="25" t="n"/>
      <c r="B26" s="25" t="n"/>
      <c r="C26" s="25" t="n"/>
      <c r="D26" s="25" t="n"/>
      <c r="E26" s="25" t="n"/>
      <c r="F26" s="25" t="n"/>
      <c r="G26" s="25" t="n"/>
    </row>
    <row r="27" ht="18" customHeight="1">
      <c r="A27" s="24" t="n"/>
      <c r="B27" s="24" t="n"/>
      <c r="C27" s="24" t="n"/>
      <c r="D27" s="24" t="n"/>
      <c r="E27" s="24" t="n"/>
      <c r="F27" s="24" t="n"/>
      <c r="G27" s="24" t="n"/>
    </row>
    <row r="28" ht="18" customHeight="1">
      <c r="A28" s="25" t="n"/>
      <c r="B28" s="25" t="n"/>
      <c r="C28" s="25" t="n"/>
      <c r="D28" s="25" t="n"/>
      <c r="E28" s="25" t="n"/>
      <c r="F28" s="25" t="n"/>
      <c r="G28" s="25" t="n"/>
    </row>
    <row r="29" ht="18" customHeight="1">
      <c r="A29" s="24" t="n"/>
      <c r="B29" s="24" t="n"/>
      <c r="C29" s="24" t="n"/>
      <c r="D29" s="24" t="n"/>
      <c r="E29" s="24" t="n"/>
      <c r="F29" s="24" t="n"/>
      <c r="G29" s="24" t="n"/>
    </row>
    <row r="30" ht="18" customHeight="1">
      <c r="A30" s="25" t="n"/>
      <c r="B30" s="25" t="n"/>
      <c r="C30" s="25" t="n"/>
      <c r="D30" s="25" t="n"/>
      <c r="E30" s="25" t="n"/>
      <c r="F30" s="25" t="n"/>
      <c r="G30" s="25" t="n"/>
    </row>
    <row r="31" ht="18" customHeight="1">
      <c r="A31" s="24" t="n"/>
      <c r="B31" s="24" t="n"/>
      <c r="C31" s="24" t="n"/>
      <c r="D31" s="24" t="n"/>
      <c r="E31" s="24" t="n"/>
      <c r="F31" s="24" t="n"/>
      <c r="G31" s="24" t="n"/>
    </row>
    <row r="32" ht="18" customHeight="1">
      <c r="A32" s="25" t="n"/>
      <c r="B32" s="25" t="n"/>
      <c r="C32" s="25" t="n"/>
      <c r="D32" s="25" t="n"/>
      <c r="E32" s="25" t="n"/>
      <c r="F32" s="25" t="n"/>
      <c r="G32" s="25" t="n"/>
    </row>
    <row r="33" ht="18" customHeight="1">
      <c r="A33" s="24" t="n"/>
      <c r="B33" s="24" t="n"/>
      <c r="C33" s="24" t="n"/>
      <c r="D33" s="24" t="n"/>
      <c r="E33" s="24" t="n"/>
      <c r="F33" s="24" t="n"/>
      <c r="G33" s="24" t="n"/>
    </row>
    <row r="34" ht="18" customHeight="1">
      <c r="A34" s="25" t="n"/>
      <c r="B34" s="25" t="n"/>
      <c r="C34" s="25" t="n"/>
      <c r="D34" s="25" t="n"/>
      <c r="E34" s="25" t="n"/>
      <c r="F34" s="25" t="n"/>
      <c r="G34" s="25" t="n"/>
    </row>
    <row r="35" ht="18" customHeight="1">
      <c r="A35" s="24" t="n"/>
      <c r="B35" s="24" t="n"/>
      <c r="C35" s="24" t="n"/>
      <c r="D35" s="24" t="n"/>
      <c r="E35" s="24" t="n"/>
      <c r="F35" s="24" t="n"/>
      <c r="G35" s="24" t="n"/>
    </row>
    <row r="36" ht="18" customHeight="1">
      <c r="A36" s="25" t="n"/>
      <c r="B36" s="25" t="n"/>
      <c r="C36" s="25" t="n"/>
      <c r="D36" s="25" t="n"/>
      <c r="E36" s="25" t="n"/>
      <c r="F36" s="25" t="n"/>
      <c r="G36" s="25" t="n"/>
    </row>
    <row r="37" ht="18" customHeight="1">
      <c r="A37" s="24" t="n"/>
      <c r="B37" s="24" t="n"/>
      <c r="C37" s="24" t="n"/>
      <c r="D37" s="24" t="n"/>
      <c r="E37" s="24" t="n"/>
      <c r="F37" s="24" t="n"/>
      <c r="G37" s="24" t="n"/>
    </row>
    <row r="38" ht="18" customHeight="1">
      <c r="A38" s="25" t="n"/>
      <c r="B38" s="25" t="n"/>
      <c r="C38" s="25" t="n"/>
      <c r="D38" s="25" t="n"/>
      <c r="E38" s="25" t="n"/>
      <c r="F38" s="25" t="n"/>
      <c r="G38" s="25" t="n"/>
    </row>
    <row r="39" ht="18" customHeight="1">
      <c r="A39" s="24" t="n"/>
      <c r="B39" s="24" t="n"/>
      <c r="C39" s="24" t="n"/>
      <c r="D39" s="24" t="n"/>
      <c r="E39" s="24" t="n"/>
      <c r="F39" s="24" t="n"/>
      <c r="G39" s="24" t="n"/>
    </row>
    <row r="40" ht="18" customHeight="1">
      <c r="A40" s="25" t="n"/>
      <c r="B40" s="25" t="n"/>
      <c r="C40" s="25" t="n"/>
      <c r="D40" s="25" t="n"/>
      <c r="E40" s="25" t="n"/>
      <c r="F40" s="25" t="n"/>
      <c r="G40" s="25" t="n"/>
    </row>
    <row r="41" ht="18" customHeight="1">
      <c r="A41" s="24" t="n"/>
      <c r="B41" s="24" t="n"/>
      <c r="C41" s="24" t="n"/>
      <c r="D41" s="24" t="n"/>
      <c r="E41" s="24" t="n"/>
      <c r="F41" s="24" t="n"/>
      <c r="G41" s="24" t="n"/>
    </row>
    <row r="42" ht="18" customHeight="1">
      <c r="A42" s="25" t="n"/>
      <c r="B42" s="25" t="n"/>
      <c r="C42" s="25" t="n"/>
      <c r="D42" s="25" t="n"/>
      <c r="E42" s="25" t="n"/>
      <c r="F42" s="25" t="n"/>
      <c r="G42" s="25" t="n"/>
    </row>
    <row r="43" ht="18" customHeight="1">
      <c r="A43" s="24" t="n"/>
      <c r="B43" s="24" t="n"/>
      <c r="C43" s="24" t="n"/>
      <c r="D43" s="24" t="n"/>
      <c r="E43" s="24" t="n"/>
      <c r="F43" s="24" t="n"/>
      <c r="G43" s="24" t="n"/>
    </row>
    <row r="44" ht="18" customHeight="1">
      <c r="A44" s="25" t="n"/>
      <c r="B44" s="25" t="n"/>
      <c r="C44" s="25" t="n"/>
      <c r="D44" s="25" t="n"/>
      <c r="E44" s="25" t="n"/>
      <c r="F44" s="25" t="n"/>
      <c r="G44" s="25" t="n"/>
    </row>
    <row r="45" ht="18" customHeight="1">
      <c r="A45" s="24" t="n"/>
      <c r="B45" s="24" t="n"/>
      <c r="C45" s="24" t="n"/>
      <c r="D45" s="24" t="n"/>
      <c r="E45" s="24" t="n"/>
      <c r="F45" s="24" t="n"/>
      <c r="G45" s="24" t="n"/>
    </row>
    <row r="46" ht="18" customHeight="1">
      <c r="A46" s="25" t="n"/>
      <c r="B46" s="25" t="n"/>
      <c r="C46" s="25" t="n"/>
      <c r="D46" s="25" t="n"/>
      <c r="E46" s="25" t="n"/>
      <c r="F46" s="25" t="n"/>
      <c r="G46" s="25" t="n"/>
    </row>
    <row r="47" ht="18" customHeight="1">
      <c r="A47" s="24" t="n"/>
      <c r="B47" s="24" t="n"/>
      <c r="C47" s="24" t="n"/>
      <c r="D47" s="24" t="n"/>
      <c r="E47" s="24" t="n"/>
      <c r="F47" s="24" t="n"/>
      <c r="G47" s="24" t="n"/>
    </row>
    <row r="48" ht="22" customHeight="1">
      <c r="A48" s="16" t="inlineStr">
        <is>
          <t>TOTAL VARIABLE</t>
        </is>
      </c>
      <c r="D48" s="17">
        <f>SUM(D23:D47)</f>
        <v/>
      </c>
      <c r="E48" s="17">
        <f>SUM(E23:E47)</f>
        <v/>
      </c>
      <c r="F48" s="18" t="n"/>
      <c r="G48" s="18" t="n"/>
    </row>
    <row r="49" ht="8" customHeight="1">
      <c r="A49" s="19" t="n"/>
      <c r="B49" s="19" t="n"/>
      <c r="C49" s="19" t="n"/>
      <c r="D49" s="19" t="n"/>
      <c r="E49" s="19" t="n"/>
      <c r="F49" s="19" t="n"/>
      <c r="G49" s="19" t="n"/>
    </row>
    <row r="50" ht="26" customHeight="1">
      <c r="A50" s="26" t="inlineStr">
        <is>
          <t>💰 BALANCE</t>
        </is>
      </c>
      <c r="D50" s="27">
        <f>D7-D19-D48</f>
        <v/>
      </c>
      <c r="E50" s="27">
        <f>E7-E19-E48</f>
        <v/>
      </c>
      <c r="F50" s="28" t="n"/>
      <c r="G50" s="28" t="n"/>
    </row>
  </sheetData>
  <mergeCells count="17">
    <mergeCell ref="B13:C13"/>
    <mergeCell ref="A50:C50"/>
    <mergeCell ref="B16:C16"/>
    <mergeCell ref="A1:G1"/>
    <mergeCell ref="B15:C15"/>
    <mergeCell ref="A9:G9"/>
    <mergeCell ref="B11:C11"/>
    <mergeCell ref="A19:C19"/>
    <mergeCell ref="A3:G3"/>
    <mergeCell ref="A21:G21"/>
    <mergeCell ref="A2"/>
    <mergeCell ref="B14:C14"/>
    <mergeCell ref="B17:C17"/>
    <mergeCell ref="B18:C18"/>
    <mergeCell ref="A7:C7"/>
    <mergeCell ref="A48:C48"/>
    <mergeCell ref="B12:C12"/>
  </mergeCells>
  <dataValidations count="3">
    <dataValidation sqref="F23:F47" showDropDown="0" showInputMessage="0" showErrorMessage="0" allowBlank="1" type="list">
      <formula1>"Food,Transport,Health,Utilities,Entertainment,Tax,Savings,Big Buy,Personal,Other"</formula1>
    </dataValidation>
    <dataValidation sqref="G23:G47" showDropDown="0" showInputMessage="0" showErrorMessage="0" allowBlank="1" type="list">
      <formula1>"Cash ARS,USD Cash,Wise,Binance,MercadoPago,Tarjeta"</formula1>
    </dataValidation>
    <dataValidation sqref="E11:E18" showDropDown="0" showInputMessage="0" showErrorMessage="0" allowBlank="1" type="list">
      <formula1>"Pagado,Pendiente,Auto"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2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 ht="30" customHeight="1">
      <c r="A1" s="1" t="inlineStr">
        <is>
          <t>💸 JUL 2025 — GASTOS MENSUALES</t>
        </is>
      </c>
    </row>
    <row r="2" ht="22" customHeight="1">
      <c r="A2" s="2" t="inlineStr">
        <is>
          <t>USD/ARS</t>
        </is>
      </c>
      <c r="B2" s="3" t="n">
        <v>1200</v>
      </c>
      <c r="C2" s="4" t="inlineStr">
        <is>
          <t>← update monthly</t>
        </is>
      </c>
      <c r="D2" s="5" t="n"/>
      <c r="E2" s="5" t="n"/>
      <c r="F2" s="5" t="n"/>
      <c r="G2" s="5" t="n"/>
    </row>
    <row r="3" ht="24" customHeight="1">
      <c r="A3" s="6" t="inlineStr">
        <is>
          <t>▲ INGRESOS</t>
        </is>
      </c>
    </row>
    <row r="4" ht="20" customHeight="1">
      <c r="A4" s="7" t="inlineStr">
        <is>
          <t>#</t>
        </is>
      </c>
      <c r="B4" s="7" t="inlineStr">
        <is>
          <t>Source</t>
        </is>
      </c>
      <c r="C4" s="7" t="inlineStr">
        <is>
          <t>Description</t>
        </is>
      </c>
      <c r="D4" s="7" t="inlineStr">
        <is>
          <t>ARS</t>
        </is>
      </c>
      <c r="E4" s="7" t="inlineStr">
        <is>
          <t>USD</t>
        </is>
      </c>
    </row>
    <row r="5" ht="18" customHeight="1">
      <c r="A5" s="8" t="n">
        <v>1</v>
      </c>
      <c r="B5" s="9" t="inlineStr"/>
      <c r="C5" s="9" t="inlineStr">
        <is>
          <t>Ipad Mini Bachi</t>
        </is>
      </c>
      <c r="D5" s="10" t="n"/>
      <c r="E5" s="10" t="n">
        <v>100</v>
      </c>
      <c r="F5" s="11" t="n"/>
      <c r="G5" s="11" t="n"/>
    </row>
    <row r="6" ht="22" customHeight="1">
      <c r="A6" s="16" t="inlineStr">
        <is>
          <t>TOTAL INGRESOS</t>
        </is>
      </c>
      <c r="D6" s="17">
        <f>SUM(D5:D5)</f>
        <v/>
      </c>
      <c r="E6" s="17">
        <f>SUM(E5:E5)</f>
        <v/>
      </c>
      <c r="F6" s="18" t="n"/>
      <c r="G6" s="18" t="n"/>
    </row>
    <row r="7" ht="8" customHeight="1">
      <c r="A7" s="19" t="n"/>
      <c r="B7" s="19" t="n"/>
      <c r="C7" s="19" t="n"/>
      <c r="D7" s="19" t="n"/>
      <c r="E7" s="19" t="n"/>
      <c r="F7" s="19" t="n"/>
      <c r="G7" s="19" t="n"/>
    </row>
    <row r="8" ht="24" customHeight="1">
      <c r="A8" s="20" t="inlineStr">
        <is>
          <t>▼ EGRESOS FIJOS</t>
        </is>
      </c>
    </row>
    <row r="9" ht="20" customHeight="1">
      <c r="A9" s="21" t="inlineStr">
        <is>
          <t>#</t>
        </is>
      </c>
      <c r="B9" s="21" t="inlineStr">
        <is>
          <t>Description</t>
        </is>
      </c>
      <c r="C9" s="21" t="inlineStr">
        <is>
          <t>ARS</t>
        </is>
      </c>
      <c r="D9" s="21" t="inlineStr">
        <is>
          <t>USD</t>
        </is>
      </c>
      <c r="E9" s="21" t="inlineStr">
        <is>
          <t>Status</t>
        </is>
      </c>
      <c r="F9" s="21" t="inlineStr"/>
      <c r="G9" s="21" t="inlineStr"/>
    </row>
    <row r="10" ht="18" customHeight="1">
      <c r="A10" s="8" t="n">
        <v>1</v>
      </c>
      <c r="B10" s="9" t="inlineStr">
        <is>
          <t>Swiss</t>
        </is>
      </c>
      <c r="D10" s="10" t="n">
        <v>150000</v>
      </c>
      <c r="E10" s="10">
        <f>IF(D10&gt;0,D10/B$2,"")</f>
        <v/>
      </c>
      <c r="F10" s="9" t="inlineStr"/>
      <c r="G10" s="11" t="n"/>
    </row>
    <row r="11" ht="18" customHeight="1">
      <c r="A11" s="12" t="n">
        <v>2</v>
      </c>
      <c r="B11" s="13" t="inlineStr">
        <is>
          <t>Remedios</t>
        </is>
      </c>
      <c r="D11" s="14" t="n">
        <v>70000</v>
      </c>
      <c r="E11" s="14">
        <f>IF(D11&gt;0,D11/B$2,"")</f>
        <v/>
      </c>
      <c r="F11" s="13" t="inlineStr"/>
      <c r="G11" s="15" t="n"/>
    </row>
    <row r="12" ht="18" customHeight="1">
      <c r="A12" s="8" t="n">
        <v>3</v>
      </c>
      <c r="B12" s="9" t="inlineStr">
        <is>
          <t>Gym</t>
        </is>
      </c>
      <c r="D12" s="10" t="n">
        <v>30000</v>
      </c>
      <c r="E12" s="10">
        <f>IF(D12&gt;0,D12/B$2,"")</f>
        <v/>
      </c>
      <c r="F12" s="9" t="inlineStr"/>
      <c r="G12" s="11" t="n"/>
    </row>
    <row r="13" ht="18" customHeight="1">
      <c r="A13" s="12" t="n">
        <v>4</v>
      </c>
      <c r="B13" s="13" t="inlineStr">
        <is>
          <t>Asisa</t>
        </is>
      </c>
      <c r="D13" s="14" t="n"/>
      <c r="E13" s="14" t="n">
        <v>50</v>
      </c>
      <c r="F13" s="13" t="inlineStr"/>
      <c r="G13" s="15" t="n"/>
    </row>
    <row r="14" ht="18" customHeight="1">
      <c r="A14" s="8" t="n">
        <v>5</v>
      </c>
      <c r="B14" s="9" t="inlineStr">
        <is>
          <t>Santander Esp</t>
        </is>
      </c>
      <c r="D14" s="10" t="n"/>
      <c r="E14" s="10" t="n">
        <v>20</v>
      </c>
      <c r="F14" s="9" t="inlineStr"/>
      <c r="G14" s="11" t="n"/>
    </row>
    <row r="15" ht="18" customHeight="1">
      <c r="A15" s="12" t="n">
        <v>6</v>
      </c>
      <c r="B15" s="13" t="inlineStr">
        <is>
          <t>Olav Depto</t>
        </is>
      </c>
      <c r="D15" s="14" t="n">
        <v>100000</v>
      </c>
      <c r="E15" s="14">
        <f>IF(D15&gt;0,D15/B$2,"")</f>
        <v/>
      </c>
      <c r="F15" s="13" t="inlineStr"/>
      <c r="G15" s="15" t="n"/>
    </row>
    <row r="16" ht="18" customHeight="1">
      <c r="A16" s="8" t="n">
        <v>7</v>
      </c>
      <c r="B16" s="9" t="inlineStr">
        <is>
          <t>Comida Olav</t>
        </is>
      </c>
      <c r="D16" s="10" t="n">
        <v>500000</v>
      </c>
      <c r="E16" s="10">
        <f>IF(D16&gt;0,D16/B$2,"")</f>
        <v/>
      </c>
      <c r="F16" s="9" t="inlineStr"/>
      <c r="G16" s="11" t="n"/>
    </row>
    <row r="17" ht="18" customHeight="1">
      <c r="A17" s="12" t="n">
        <v>8</v>
      </c>
      <c r="B17" s="13" t="inlineStr">
        <is>
          <t>Psico x4</t>
        </is>
      </c>
      <c r="D17" s="14" t="n">
        <v>42000</v>
      </c>
      <c r="E17" s="14">
        <f>IF(D17&gt;0,D17/B$2,"")</f>
        <v/>
      </c>
      <c r="F17" s="13" t="inlineStr"/>
      <c r="G17" s="15" t="n"/>
    </row>
    <row r="18" ht="22" customHeight="1">
      <c r="A18" s="16" t="inlineStr">
        <is>
          <t>TOTAL FIJOS</t>
        </is>
      </c>
      <c r="D18" s="17">
        <f>SUM(D10:D17)</f>
        <v/>
      </c>
      <c r="E18" s="17">
        <f>SUM(E10:E17)</f>
        <v/>
      </c>
      <c r="F18" s="18" t="n"/>
      <c r="G18" s="18" t="n"/>
    </row>
    <row r="19" ht="8" customHeight="1">
      <c r="A19" s="19" t="n"/>
      <c r="B19" s="19" t="n"/>
      <c r="C19" s="19" t="n"/>
      <c r="D19" s="19" t="n"/>
      <c r="E19" s="19" t="n"/>
      <c r="F19" s="19" t="n"/>
      <c r="G19" s="19" t="n"/>
    </row>
    <row r="20" ht="24" customHeight="1">
      <c r="A20" s="22" t="inlineStr">
        <is>
          <t>📋 GASTOS DEL MES</t>
        </is>
      </c>
    </row>
    <row r="21" ht="20" customHeight="1">
      <c r="A21" s="23" t="inlineStr">
        <is>
          <t>#</t>
        </is>
      </c>
      <c r="B21" s="23" t="inlineStr">
        <is>
          <t>Date</t>
        </is>
      </c>
      <c r="C21" s="23" t="inlineStr">
        <is>
          <t>Description</t>
        </is>
      </c>
      <c r="D21" s="23" t="inlineStr">
        <is>
          <t>ARS</t>
        </is>
      </c>
      <c r="E21" s="23" t="inlineStr">
        <is>
          <t>USD</t>
        </is>
      </c>
      <c r="F21" s="23" t="inlineStr">
        <is>
          <t>Category</t>
        </is>
      </c>
      <c r="G21" s="23" t="inlineStr">
        <is>
          <t>Payment</t>
        </is>
      </c>
    </row>
    <row r="22" ht="18" customHeight="1">
      <c r="A22" s="8" t="n">
        <v>1</v>
      </c>
      <c r="B22" s="8" t="inlineStr">
        <is>
          <t>02</t>
        </is>
      </c>
      <c r="C22" s="9" t="inlineStr">
        <is>
          <t>Bizcochos</t>
        </is>
      </c>
      <c r="D22" s="10" t="n">
        <v>5300</v>
      </c>
      <c r="E22" s="10">
        <f>IF(D22&gt;0,D22/B$2,"")</f>
        <v/>
      </c>
      <c r="F22" s="9" t="inlineStr"/>
      <c r="G22" s="9" t="inlineStr"/>
    </row>
    <row r="23" ht="18" customHeight="1">
      <c r="A23" s="12" t="n">
        <v>2</v>
      </c>
      <c r="B23" s="12" t="inlineStr">
        <is>
          <t>03</t>
        </is>
      </c>
      <c r="C23" s="13" t="inlineStr">
        <is>
          <t>Crazy cheese</t>
        </is>
      </c>
      <c r="D23" s="14" t="n">
        <v>18000</v>
      </c>
      <c r="E23" s="14">
        <f>IF(D23&gt;0,D23/B$2,"")</f>
        <v/>
      </c>
      <c r="F23" s="13" t="inlineStr"/>
      <c r="G23" s="13" t="inlineStr"/>
    </row>
    <row r="24" ht="18" customHeight="1">
      <c r="A24" s="8" t="n">
        <v>3</v>
      </c>
      <c r="B24" s="8" t="inlineStr">
        <is>
          <t>04</t>
        </is>
      </c>
      <c r="C24" s="9" t="inlineStr">
        <is>
          <t>Auto Fabi</t>
        </is>
      </c>
      <c r="D24" s="10" t="n">
        <v>30000</v>
      </c>
      <c r="E24" s="10">
        <f>IF(D24&gt;0,D24/B$2,"")</f>
        <v/>
      </c>
      <c r="F24" s="9" t="inlineStr"/>
      <c r="G24" s="9" t="inlineStr"/>
    </row>
    <row r="25" ht="18" customHeight="1">
      <c r="A25" s="12" t="n">
        <v>4</v>
      </c>
      <c r="B25" s="12" t="inlineStr">
        <is>
          <t>05</t>
        </is>
      </c>
      <c r="C25" s="13" t="inlineStr">
        <is>
          <t>Empanadas</t>
        </is>
      </c>
      <c r="D25" s="14" t="n">
        <v>45000</v>
      </c>
      <c r="E25" s="14">
        <f>IF(D25&gt;0,D25/B$2,"")</f>
        <v/>
      </c>
      <c r="F25" s="13" t="inlineStr"/>
      <c r="G25" s="13" t="inlineStr"/>
    </row>
    <row r="26" ht="18" customHeight="1">
      <c r="A26" s="8" t="n">
        <v>5</v>
      </c>
      <c r="B26" s="8" t="inlineStr">
        <is>
          <t>07</t>
        </is>
      </c>
      <c r="C26" s="9" t="inlineStr">
        <is>
          <t>Strange</t>
        </is>
      </c>
      <c r="D26" s="10" t="n">
        <v>30000</v>
      </c>
      <c r="E26" s="10">
        <f>IF(D26&gt;0,D26/B$2,"")</f>
        <v/>
      </c>
      <c r="F26" s="9" t="inlineStr"/>
      <c r="G26" s="9" t="inlineStr"/>
    </row>
    <row r="27" ht="18" customHeight="1">
      <c r="A27" s="25" t="n"/>
      <c r="B27" s="25" t="n"/>
      <c r="C27" s="25" t="n"/>
      <c r="D27" s="25" t="n"/>
      <c r="E27" s="25" t="n"/>
      <c r="F27" s="25" t="n"/>
      <c r="G27" s="25" t="n"/>
    </row>
    <row r="28" ht="18" customHeight="1">
      <c r="A28" s="24" t="n"/>
      <c r="B28" s="24" t="n"/>
      <c r="C28" s="24" t="n"/>
      <c r="D28" s="24" t="n"/>
      <c r="E28" s="24" t="n"/>
      <c r="F28" s="24" t="n"/>
      <c r="G28" s="24" t="n"/>
    </row>
    <row r="29" ht="18" customHeight="1">
      <c r="A29" s="25" t="n"/>
      <c r="B29" s="25" t="n"/>
      <c r="C29" s="25" t="n"/>
      <c r="D29" s="25" t="n"/>
      <c r="E29" s="25" t="n"/>
      <c r="F29" s="25" t="n"/>
      <c r="G29" s="25" t="n"/>
    </row>
    <row r="30" ht="18" customHeight="1">
      <c r="A30" s="24" t="n"/>
      <c r="B30" s="24" t="n"/>
      <c r="C30" s="24" t="n"/>
      <c r="D30" s="24" t="n"/>
      <c r="E30" s="24" t="n"/>
      <c r="F30" s="24" t="n"/>
      <c r="G30" s="24" t="n"/>
    </row>
    <row r="31" ht="18" customHeight="1">
      <c r="A31" s="25" t="n"/>
      <c r="B31" s="25" t="n"/>
      <c r="C31" s="25" t="n"/>
      <c r="D31" s="25" t="n"/>
      <c r="E31" s="25" t="n"/>
      <c r="F31" s="25" t="n"/>
      <c r="G31" s="25" t="n"/>
    </row>
    <row r="32" ht="18" customHeight="1">
      <c r="A32" s="24" t="n"/>
      <c r="B32" s="24" t="n"/>
      <c r="C32" s="24" t="n"/>
      <c r="D32" s="24" t="n"/>
      <c r="E32" s="24" t="n"/>
      <c r="F32" s="24" t="n"/>
      <c r="G32" s="24" t="n"/>
    </row>
    <row r="33" ht="18" customHeight="1">
      <c r="A33" s="25" t="n"/>
      <c r="B33" s="25" t="n"/>
      <c r="C33" s="25" t="n"/>
      <c r="D33" s="25" t="n"/>
      <c r="E33" s="25" t="n"/>
      <c r="F33" s="25" t="n"/>
      <c r="G33" s="25" t="n"/>
    </row>
    <row r="34" ht="18" customHeight="1">
      <c r="A34" s="24" t="n"/>
      <c r="B34" s="24" t="n"/>
      <c r="C34" s="24" t="n"/>
      <c r="D34" s="24" t="n"/>
      <c r="E34" s="24" t="n"/>
      <c r="F34" s="24" t="n"/>
      <c r="G34" s="24" t="n"/>
    </row>
    <row r="35" ht="18" customHeight="1">
      <c r="A35" s="25" t="n"/>
      <c r="B35" s="25" t="n"/>
      <c r="C35" s="25" t="n"/>
      <c r="D35" s="25" t="n"/>
      <c r="E35" s="25" t="n"/>
      <c r="F35" s="25" t="n"/>
      <c r="G35" s="25" t="n"/>
    </row>
    <row r="36" ht="18" customHeight="1">
      <c r="A36" s="24" t="n"/>
      <c r="B36" s="24" t="n"/>
      <c r="C36" s="24" t="n"/>
      <c r="D36" s="24" t="n"/>
      <c r="E36" s="24" t="n"/>
      <c r="F36" s="24" t="n"/>
      <c r="G36" s="24" t="n"/>
    </row>
    <row r="37" ht="18" customHeight="1">
      <c r="A37" s="25" t="n"/>
      <c r="B37" s="25" t="n"/>
      <c r="C37" s="25" t="n"/>
      <c r="D37" s="25" t="n"/>
      <c r="E37" s="25" t="n"/>
      <c r="F37" s="25" t="n"/>
      <c r="G37" s="25" t="n"/>
    </row>
    <row r="38" ht="18" customHeight="1">
      <c r="A38" s="24" t="n"/>
      <c r="B38" s="24" t="n"/>
      <c r="C38" s="24" t="n"/>
      <c r="D38" s="24" t="n"/>
      <c r="E38" s="24" t="n"/>
      <c r="F38" s="24" t="n"/>
      <c r="G38" s="24" t="n"/>
    </row>
    <row r="39" ht="18" customHeight="1">
      <c r="A39" s="25" t="n"/>
      <c r="B39" s="25" t="n"/>
      <c r="C39" s="25" t="n"/>
      <c r="D39" s="25" t="n"/>
      <c r="E39" s="25" t="n"/>
      <c r="F39" s="25" t="n"/>
      <c r="G39" s="25" t="n"/>
    </row>
    <row r="40" ht="18" customHeight="1">
      <c r="A40" s="24" t="n"/>
      <c r="B40" s="24" t="n"/>
      <c r="C40" s="24" t="n"/>
      <c r="D40" s="24" t="n"/>
      <c r="E40" s="24" t="n"/>
      <c r="F40" s="24" t="n"/>
      <c r="G40" s="24" t="n"/>
    </row>
    <row r="41" ht="18" customHeight="1">
      <c r="A41" s="25" t="n"/>
      <c r="B41" s="25" t="n"/>
      <c r="C41" s="25" t="n"/>
      <c r="D41" s="25" t="n"/>
      <c r="E41" s="25" t="n"/>
      <c r="F41" s="25" t="n"/>
      <c r="G41" s="25" t="n"/>
    </row>
    <row r="42" ht="18" customHeight="1">
      <c r="A42" s="24" t="n"/>
      <c r="B42" s="24" t="n"/>
      <c r="C42" s="24" t="n"/>
      <c r="D42" s="24" t="n"/>
      <c r="E42" s="24" t="n"/>
      <c r="F42" s="24" t="n"/>
      <c r="G42" s="24" t="n"/>
    </row>
    <row r="43" ht="18" customHeight="1">
      <c r="A43" s="25" t="n"/>
      <c r="B43" s="25" t="n"/>
      <c r="C43" s="25" t="n"/>
      <c r="D43" s="25" t="n"/>
      <c r="E43" s="25" t="n"/>
      <c r="F43" s="25" t="n"/>
      <c r="G43" s="25" t="n"/>
    </row>
    <row r="44" ht="18" customHeight="1">
      <c r="A44" s="24" t="n"/>
      <c r="B44" s="24" t="n"/>
      <c r="C44" s="24" t="n"/>
      <c r="D44" s="24" t="n"/>
      <c r="E44" s="24" t="n"/>
      <c r="F44" s="24" t="n"/>
      <c r="G44" s="24" t="n"/>
    </row>
    <row r="45" ht="18" customHeight="1">
      <c r="A45" s="25" t="n"/>
      <c r="B45" s="25" t="n"/>
      <c r="C45" s="25" t="n"/>
      <c r="D45" s="25" t="n"/>
      <c r="E45" s="25" t="n"/>
      <c r="F45" s="25" t="n"/>
      <c r="G45" s="25" t="n"/>
    </row>
    <row r="46" ht="18" customHeight="1">
      <c r="A46" s="24" t="n"/>
      <c r="B46" s="24" t="n"/>
      <c r="C46" s="24" t="n"/>
      <c r="D46" s="24" t="n"/>
      <c r="E46" s="24" t="n"/>
      <c r="F46" s="24" t="n"/>
      <c r="G46" s="24" t="n"/>
    </row>
    <row r="47" ht="22" customHeight="1">
      <c r="A47" s="16" t="inlineStr">
        <is>
          <t>TOTAL VARIABLE</t>
        </is>
      </c>
      <c r="D47" s="17">
        <f>SUM(D22:D46)</f>
        <v/>
      </c>
      <c r="E47" s="17">
        <f>SUM(E22:E46)</f>
        <v/>
      </c>
      <c r="F47" s="18" t="n"/>
      <c r="G47" s="18" t="n"/>
    </row>
    <row r="48" ht="8" customHeight="1">
      <c r="A48" s="19" t="n"/>
      <c r="B48" s="19" t="n"/>
      <c r="C48" s="19" t="n"/>
      <c r="D48" s="19" t="n"/>
      <c r="E48" s="19" t="n"/>
      <c r="F48" s="19" t="n"/>
      <c r="G48" s="19" t="n"/>
    </row>
    <row r="49" ht="26" customHeight="1">
      <c r="A49" s="26" t="inlineStr">
        <is>
          <t>💰 BALANCE</t>
        </is>
      </c>
      <c r="D49" s="27">
        <f>D6-D18-D47</f>
        <v/>
      </c>
      <c r="E49" s="27">
        <f>E6-E18-E47</f>
        <v/>
      </c>
      <c r="F49" s="28" t="n"/>
      <c r="G49" s="28" t="n"/>
    </row>
  </sheetData>
  <mergeCells count="17">
    <mergeCell ref="B13:C13"/>
    <mergeCell ref="B16:C16"/>
    <mergeCell ref="A1:G1"/>
    <mergeCell ref="B15:C15"/>
    <mergeCell ref="A47:C47"/>
    <mergeCell ref="B11:C11"/>
    <mergeCell ref="A8:G8"/>
    <mergeCell ref="A3:G3"/>
    <mergeCell ref="A49:C49"/>
    <mergeCell ref="A6:C6"/>
    <mergeCell ref="B10:C10"/>
    <mergeCell ref="A18:C18"/>
    <mergeCell ref="A2"/>
    <mergeCell ref="B14:C14"/>
    <mergeCell ref="A20:G20"/>
    <mergeCell ref="B17:C17"/>
    <mergeCell ref="B12:C12"/>
  </mergeCells>
  <dataValidations count="3">
    <dataValidation sqref="F22:F46" showDropDown="0" showInputMessage="0" showErrorMessage="0" allowBlank="1" type="list">
      <formula1>"Food,Transport,Health,Utilities,Entertainment,Tax,Savings,Big Buy,Personal,Other"</formula1>
    </dataValidation>
    <dataValidation sqref="G22:G46" showDropDown="0" showInputMessage="0" showErrorMessage="0" allowBlank="1" type="list">
      <formula1>"Cash ARS,USD Cash,Wise,Binance,MercadoPago,Tarjeta"</formula1>
    </dataValidation>
    <dataValidation sqref="E10:E17" showDropDown="0" showInputMessage="0" showErrorMessage="0" allowBlank="1" type="list">
      <formula1>"Pagado,Pendiente,Auto"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2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 ht="30" customHeight="1">
      <c r="A1" s="1" t="inlineStr">
        <is>
          <t>💸 AUG 2025 — GASTOS MENSUALES</t>
        </is>
      </c>
    </row>
    <row r="2" ht="22" customHeight="1">
      <c r="A2" s="2" t="inlineStr">
        <is>
          <t>USD/ARS</t>
        </is>
      </c>
      <c r="B2" s="3" t="n">
        <v>1300</v>
      </c>
      <c r="C2" s="4" t="inlineStr">
        <is>
          <t>← update monthly</t>
        </is>
      </c>
      <c r="D2" s="5" t="n"/>
      <c r="E2" s="5" t="n"/>
      <c r="F2" s="5" t="n"/>
      <c r="G2" s="5" t="n"/>
    </row>
    <row r="3" ht="24" customHeight="1">
      <c r="A3" s="6" t="inlineStr">
        <is>
          <t>▲ INGRESOS</t>
        </is>
      </c>
    </row>
    <row r="4" ht="20" customHeight="1">
      <c r="A4" s="7" t="inlineStr">
        <is>
          <t>#</t>
        </is>
      </c>
      <c r="B4" s="7" t="inlineStr">
        <is>
          <t>Source</t>
        </is>
      </c>
      <c r="C4" s="7" t="inlineStr">
        <is>
          <t>Description</t>
        </is>
      </c>
      <c r="D4" s="7" t="inlineStr">
        <is>
          <t>ARS</t>
        </is>
      </c>
      <c r="E4" s="7" t="inlineStr">
        <is>
          <t>USD</t>
        </is>
      </c>
    </row>
    <row r="5" ht="22" customHeight="1">
      <c r="A5" s="16" t="inlineStr">
        <is>
          <t>TOTAL INGRESOS</t>
        </is>
      </c>
      <c r="D5" s="17">
        <f>SUM(D5:D4)</f>
        <v/>
      </c>
      <c r="E5" s="17">
        <f>SUM(E5:E4)</f>
        <v/>
      </c>
      <c r="F5" s="18" t="n"/>
      <c r="G5" s="18" t="n"/>
    </row>
    <row r="6" ht="8" customHeight="1">
      <c r="A6" s="19" t="n"/>
      <c r="B6" s="19" t="n"/>
      <c r="C6" s="19" t="n"/>
      <c r="D6" s="19" t="n"/>
      <c r="E6" s="19" t="n"/>
      <c r="F6" s="19" t="n"/>
      <c r="G6" s="19" t="n"/>
    </row>
    <row r="7" ht="24" customHeight="1">
      <c r="A7" s="20" t="inlineStr">
        <is>
          <t>▼ EGRESOS FIJOS</t>
        </is>
      </c>
    </row>
    <row r="8" ht="20" customHeight="1">
      <c r="A8" s="21" t="inlineStr">
        <is>
          <t>#</t>
        </is>
      </c>
      <c r="B8" s="21" t="inlineStr">
        <is>
          <t>Description</t>
        </is>
      </c>
      <c r="C8" s="21" t="inlineStr">
        <is>
          <t>ARS</t>
        </is>
      </c>
      <c r="D8" s="21" t="inlineStr">
        <is>
          <t>USD</t>
        </is>
      </c>
      <c r="E8" s="21" t="inlineStr">
        <is>
          <t>Status</t>
        </is>
      </c>
      <c r="F8" s="21" t="inlineStr"/>
      <c r="G8" s="21" t="inlineStr"/>
    </row>
    <row r="9" ht="18" customHeight="1">
      <c r="A9" s="8" t="n">
        <v>1</v>
      </c>
      <c r="B9" s="9" t="inlineStr">
        <is>
          <t>Swiss</t>
        </is>
      </c>
      <c r="D9" s="10" t="n">
        <v>150000</v>
      </c>
      <c r="E9" s="10">
        <f>IF(D9&gt;0,D9/B$2,"")</f>
        <v/>
      </c>
      <c r="F9" s="9" t="inlineStr"/>
      <c r="G9" s="11" t="n"/>
    </row>
    <row r="10" ht="18" customHeight="1">
      <c r="A10" s="12" t="n">
        <v>2</v>
      </c>
      <c r="B10" s="13" t="inlineStr">
        <is>
          <t>Remedios</t>
        </is>
      </c>
      <c r="D10" s="14" t="n">
        <v>30000</v>
      </c>
      <c r="E10" s="14">
        <f>IF(D10&gt;0,D10/B$2,"")</f>
        <v/>
      </c>
      <c r="F10" s="13" t="inlineStr"/>
      <c r="G10" s="15" t="n"/>
    </row>
    <row r="11" ht="18" customHeight="1">
      <c r="A11" s="8" t="n">
        <v>3</v>
      </c>
      <c r="B11" s="9" t="inlineStr">
        <is>
          <t>Gym</t>
        </is>
      </c>
      <c r="D11" s="10" t="n">
        <v>30000</v>
      </c>
      <c r="E11" s="10">
        <f>IF(D11&gt;0,D11/B$2,"")</f>
        <v/>
      </c>
      <c r="F11" s="9" t="inlineStr"/>
      <c r="G11" s="11" t="n"/>
    </row>
    <row r="12" ht="18" customHeight="1">
      <c r="A12" s="12" t="n">
        <v>4</v>
      </c>
      <c r="B12" s="13" t="inlineStr">
        <is>
          <t>Asisa</t>
        </is>
      </c>
      <c r="D12" s="14" t="n">
        <v>50000</v>
      </c>
      <c r="E12" s="14">
        <f>IF(D12&gt;0,D12/B$2,"")</f>
        <v/>
      </c>
      <c r="F12" s="13" t="inlineStr"/>
      <c r="G12" s="15" t="n"/>
    </row>
    <row r="13" ht="18" customHeight="1">
      <c r="A13" s="8" t="n">
        <v>5</v>
      </c>
      <c r="B13" s="9" t="inlineStr">
        <is>
          <t>Santander Esp</t>
        </is>
      </c>
      <c r="D13" s="10" t="n">
        <v>20000</v>
      </c>
      <c r="E13" s="10">
        <f>IF(D13&gt;0,D13/B$2,"")</f>
        <v/>
      </c>
      <c r="F13" s="9" t="inlineStr"/>
      <c r="G13" s="11" t="n"/>
    </row>
    <row r="14" ht="18" customHeight="1">
      <c r="A14" s="12" t="n">
        <v>6</v>
      </c>
      <c r="B14" s="13" t="inlineStr">
        <is>
          <t>Olav Depto</t>
        </is>
      </c>
      <c r="D14" s="14" t="n">
        <v>130000</v>
      </c>
      <c r="E14" s="14">
        <f>IF(D14&gt;0,D14/B$2,"")</f>
        <v/>
      </c>
      <c r="F14" s="13" t="inlineStr"/>
      <c r="G14" s="15" t="n"/>
    </row>
    <row r="15" ht="18" customHeight="1">
      <c r="A15" s="8" t="n">
        <v>7</v>
      </c>
      <c r="B15" s="9" t="inlineStr">
        <is>
          <t>Comida Olav</t>
        </is>
      </c>
      <c r="D15" s="10" t="n">
        <v>800000</v>
      </c>
      <c r="E15" s="10">
        <f>IF(D15&gt;0,D15/B$2,"")</f>
        <v/>
      </c>
      <c r="F15" s="9" t="inlineStr"/>
      <c r="G15" s="11" t="n"/>
    </row>
    <row r="16" ht="18" customHeight="1">
      <c r="A16" s="12" t="n">
        <v>8</v>
      </c>
      <c r="B16" s="13" t="inlineStr">
        <is>
          <t>Psico x2</t>
        </is>
      </c>
      <c r="D16" s="14" t="n">
        <v>33000</v>
      </c>
      <c r="E16" s="14">
        <f>IF(D16&gt;0,D16/B$2,"")</f>
        <v/>
      </c>
      <c r="F16" s="13" t="inlineStr"/>
      <c r="G16" s="15" t="n"/>
    </row>
    <row r="17" ht="18" customHeight="1">
      <c r="A17" s="8" t="n">
        <v>9</v>
      </c>
      <c r="B17" s="9" t="inlineStr">
        <is>
          <t>Escribano</t>
        </is>
      </c>
      <c r="D17" s="10" t="n">
        <v>30000</v>
      </c>
      <c r="E17" s="10">
        <f>IF(D17&gt;0,D17/B$2,"")</f>
        <v/>
      </c>
      <c r="F17" s="9" t="inlineStr"/>
      <c r="G17" s="11" t="n"/>
    </row>
    <row r="18" ht="18" customHeight="1">
      <c r="A18" s="12" t="n">
        <v>10</v>
      </c>
      <c r="B18" s="13" t="inlineStr">
        <is>
          <t>Internet</t>
        </is>
      </c>
      <c r="D18" s="14" t="n">
        <v>20000</v>
      </c>
      <c r="E18" s="14">
        <f>IF(D18&gt;0,D18/B$2,"")</f>
        <v/>
      </c>
      <c r="F18" s="13" t="inlineStr"/>
      <c r="G18" s="15" t="n"/>
    </row>
    <row r="19" ht="22" customHeight="1">
      <c r="A19" s="16" t="inlineStr">
        <is>
          <t>TOTAL FIJOS</t>
        </is>
      </c>
      <c r="D19" s="17">
        <f>SUM(D9:D18)</f>
        <v/>
      </c>
      <c r="E19" s="17">
        <f>SUM(E9:E18)</f>
        <v/>
      </c>
      <c r="F19" s="18" t="n"/>
      <c r="G19" s="18" t="n"/>
    </row>
    <row r="20" ht="8" customHeight="1">
      <c r="A20" s="19" t="n"/>
      <c r="B20" s="19" t="n"/>
      <c r="C20" s="19" t="n"/>
      <c r="D20" s="19" t="n"/>
      <c r="E20" s="19" t="n"/>
      <c r="F20" s="19" t="n"/>
      <c r="G20" s="19" t="n"/>
    </row>
    <row r="21" ht="24" customHeight="1">
      <c r="A21" s="22" t="inlineStr">
        <is>
          <t>📋 GASTOS DEL MES</t>
        </is>
      </c>
    </row>
    <row r="22" ht="20" customHeight="1">
      <c r="A22" s="23" t="inlineStr">
        <is>
          <t>#</t>
        </is>
      </c>
      <c r="B22" s="23" t="inlineStr">
        <is>
          <t>Date</t>
        </is>
      </c>
      <c r="C22" s="23" t="inlineStr">
        <is>
          <t>Description</t>
        </is>
      </c>
      <c r="D22" s="23" t="inlineStr">
        <is>
          <t>ARS</t>
        </is>
      </c>
      <c r="E22" s="23" t="inlineStr">
        <is>
          <t>USD</t>
        </is>
      </c>
      <c r="F22" s="23" t="inlineStr">
        <is>
          <t>Category</t>
        </is>
      </c>
      <c r="G22" s="23" t="inlineStr">
        <is>
          <t>Payment</t>
        </is>
      </c>
    </row>
    <row r="23" ht="18" customHeight="1">
      <c r="A23" s="8" t="n">
        <v>1</v>
      </c>
      <c r="B23" s="8" t="inlineStr">
        <is>
          <t>02</t>
        </is>
      </c>
      <c r="C23" s="9" t="inlineStr">
        <is>
          <t>Bizcochos</t>
        </is>
      </c>
      <c r="D23" s="10" t="n">
        <v>5300</v>
      </c>
      <c r="E23" s="10">
        <f>IF(D23&gt;0,D23/B$2,"")</f>
        <v/>
      </c>
      <c r="F23" s="9" t="inlineStr"/>
      <c r="G23" s="9" t="inlineStr"/>
    </row>
    <row r="24" ht="18" customHeight="1">
      <c r="A24" s="12" t="n">
        <v>2</v>
      </c>
      <c r="B24" s="12" t="inlineStr">
        <is>
          <t>04</t>
        </is>
      </c>
      <c r="C24" s="13" t="inlineStr">
        <is>
          <t>Auto Fabi</t>
        </is>
      </c>
      <c r="D24" s="14" t="n">
        <v>30000</v>
      </c>
      <c r="E24" s="14">
        <f>IF(D24&gt;0,D24/B$2,"")</f>
        <v/>
      </c>
      <c r="F24" s="13" t="inlineStr"/>
      <c r="G24" s="13" t="inlineStr"/>
    </row>
    <row r="25" ht="18" customHeight="1">
      <c r="A25" s="8" t="n">
        <v>3</v>
      </c>
      <c r="B25" s="8" t="inlineStr">
        <is>
          <t>05</t>
        </is>
      </c>
      <c r="C25" s="9" t="inlineStr">
        <is>
          <t>Empanadas</t>
        </is>
      </c>
      <c r="D25" s="10" t="n">
        <v>45000</v>
      </c>
      <c r="E25" s="10">
        <f>IF(D25&gt;0,D25/B$2,"")</f>
        <v/>
      </c>
      <c r="F25" s="9" t="inlineStr"/>
      <c r="G25" s="9" t="inlineStr"/>
    </row>
    <row r="26" ht="18" customHeight="1">
      <c r="A26" s="25" t="n"/>
      <c r="B26" s="25" t="n"/>
      <c r="C26" s="25" t="n"/>
      <c r="D26" s="25" t="n"/>
      <c r="E26" s="25" t="n"/>
      <c r="F26" s="25" t="n"/>
      <c r="G26" s="25" t="n"/>
    </row>
    <row r="27" ht="18" customHeight="1">
      <c r="A27" s="24" t="n"/>
      <c r="B27" s="24" t="n"/>
      <c r="C27" s="24" t="n"/>
      <c r="D27" s="24" t="n"/>
      <c r="E27" s="24" t="n"/>
      <c r="F27" s="24" t="n"/>
      <c r="G27" s="24" t="n"/>
    </row>
    <row r="28" ht="18" customHeight="1">
      <c r="A28" s="25" t="n"/>
      <c r="B28" s="25" t="n"/>
      <c r="C28" s="25" t="n"/>
      <c r="D28" s="25" t="n"/>
      <c r="E28" s="25" t="n"/>
      <c r="F28" s="25" t="n"/>
      <c r="G28" s="25" t="n"/>
    </row>
    <row r="29" ht="18" customHeight="1">
      <c r="A29" s="24" t="n"/>
      <c r="B29" s="24" t="n"/>
      <c r="C29" s="24" t="n"/>
      <c r="D29" s="24" t="n"/>
      <c r="E29" s="24" t="n"/>
      <c r="F29" s="24" t="n"/>
      <c r="G29" s="24" t="n"/>
    </row>
    <row r="30" ht="18" customHeight="1">
      <c r="A30" s="25" t="n"/>
      <c r="B30" s="25" t="n"/>
      <c r="C30" s="25" t="n"/>
      <c r="D30" s="25" t="n"/>
      <c r="E30" s="25" t="n"/>
      <c r="F30" s="25" t="n"/>
      <c r="G30" s="25" t="n"/>
    </row>
    <row r="31" ht="18" customHeight="1">
      <c r="A31" s="24" t="n"/>
      <c r="B31" s="24" t="n"/>
      <c r="C31" s="24" t="n"/>
      <c r="D31" s="24" t="n"/>
      <c r="E31" s="24" t="n"/>
      <c r="F31" s="24" t="n"/>
      <c r="G31" s="24" t="n"/>
    </row>
    <row r="32" ht="18" customHeight="1">
      <c r="A32" s="25" t="n"/>
      <c r="B32" s="25" t="n"/>
      <c r="C32" s="25" t="n"/>
      <c r="D32" s="25" t="n"/>
      <c r="E32" s="25" t="n"/>
      <c r="F32" s="25" t="n"/>
      <c r="G32" s="25" t="n"/>
    </row>
    <row r="33" ht="18" customHeight="1">
      <c r="A33" s="24" t="n"/>
      <c r="B33" s="24" t="n"/>
      <c r="C33" s="24" t="n"/>
      <c r="D33" s="24" t="n"/>
      <c r="E33" s="24" t="n"/>
      <c r="F33" s="24" t="n"/>
      <c r="G33" s="24" t="n"/>
    </row>
    <row r="34" ht="18" customHeight="1">
      <c r="A34" s="25" t="n"/>
      <c r="B34" s="25" t="n"/>
      <c r="C34" s="25" t="n"/>
      <c r="D34" s="25" t="n"/>
      <c r="E34" s="25" t="n"/>
      <c r="F34" s="25" t="n"/>
      <c r="G34" s="25" t="n"/>
    </row>
    <row r="35" ht="18" customHeight="1">
      <c r="A35" s="24" t="n"/>
      <c r="B35" s="24" t="n"/>
      <c r="C35" s="24" t="n"/>
      <c r="D35" s="24" t="n"/>
      <c r="E35" s="24" t="n"/>
      <c r="F35" s="24" t="n"/>
      <c r="G35" s="24" t="n"/>
    </row>
    <row r="36" ht="18" customHeight="1">
      <c r="A36" s="25" t="n"/>
      <c r="B36" s="25" t="n"/>
      <c r="C36" s="25" t="n"/>
      <c r="D36" s="25" t="n"/>
      <c r="E36" s="25" t="n"/>
      <c r="F36" s="25" t="n"/>
      <c r="G36" s="25" t="n"/>
    </row>
    <row r="37" ht="18" customHeight="1">
      <c r="A37" s="24" t="n"/>
      <c r="B37" s="24" t="n"/>
      <c r="C37" s="24" t="n"/>
      <c r="D37" s="24" t="n"/>
      <c r="E37" s="24" t="n"/>
      <c r="F37" s="24" t="n"/>
      <c r="G37" s="24" t="n"/>
    </row>
    <row r="38" ht="18" customHeight="1">
      <c r="A38" s="25" t="n"/>
      <c r="B38" s="25" t="n"/>
      <c r="C38" s="25" t="n"/>
      <c r="D38" s="25" t="n"/>
      <c r="E38" s="25" t="n"/>
      <c r="F38" s="25" t="n"/>
      <c r="G38" s="25" t="n"/>
    </row>
    <row r="39" ht="18" customHeight="1">
      <c r="A39" s="24" t="n"/>
      <c r="B39" s="24" t="n"/>
      <c r="C39" s="24" t="n"/>
      <c r="D39" s="24" t="n"/>
      <c r="E39" s="24" t="n"/>
      <c r="F39" s="24" t="n"/>
      <c r="G39" s="24" t="n"/>
    </row>
    <row r="40" ht="18" customHeight="1">
      <c r="A40" s="25" t="n"/>
      <c r="B40" s="25" t="n"/>
      <c r="C40" s="25" t="n"/>
      <c r="D40" s="25" t="n"/>
      <c r="E40" s="25" t="n"/>
      <c r="F40" s="25" t="n"/>
      <c r="G40" s="25" t="n"/>
    </row>
    <row r="41" ht="18" customHeight="1">
      <c r="A41" s="24" t="n"/>
      <c r="B41" s="24" t="n"/>
      <c r="C41" s="24" t="n"/>
      <c r="D41" s="24" t="n"/>
      <c r="E41" s="24" t="n"/>
      <c r="F41" s="24" t="n"/>
      <c r="G41" s="24" t="n"/>
    </row>
    <row r="42" ht="18" customHeight="1">
      <c r="A42" s="25" t="n"/>
      <c r="B42" s="25" t="n"/>
      <c r="C42" s="25" t="n"/>
      <c r="D42" s="25" t="n"/>
      <c r="E42" s="25" t="n"/>
      <c r="F42" s="25" t="n"/>
      <c r="G42" s="25" t="n"/>
    </row>
    <row r="43" ht="18" customHeight="1">
      <c r="A43" s="24" t="n"/>
      <c r="B43" s="24" t="n"/>
      <c r="C43" s="24" t="n"/>
      <c r="D43" s="24" t="n"/>
      <c r="E43" s="24" t="n"/>
      <c r="F43" s="24" t="n"/>
      <c r="G43" s="24" t="n"/>
    </row>
    <row r="44" ht="18" customHeight="1">
      <c r="A44" s="25" t="n"/>
      <c r="B44" s="25" t="n"/>
      <c r="C44" s="25" t="n"/>
      <c r="D44" s="25" t="n"/>
      <c r="E44" s="25" t="n"/>
      <c r="F44" s="25" t="n"/>
      <c r="G44" s="25" t="n"/>
    </row>
    <row r="45" ht="18" customHeight="1">
      <c r="A45" s="24" t="n"/>
      <c r="B45" s="24" t="n"/>
      <c r="C45" s="24" t="n"/>
      <c r="D45" s="24" t="n"/>
      <c r="E45" s="24" t="n"/>
      <c r="F45" s="24" t="n"/>
      <c r="G45" s="24" t="n"/>
    </row>
    <row r="46" ht="18" customHeight="1">
      <c r="A46" s="25" t="n"/>
      <c r="B46" s="25" t="n"/>
      <c r="C46" s="25" t="n"/>
      <c r="D46" s="25" t="n"/>
      <c r="E46" s="25" t="n"/>
      <c r="F46" s="25" t="n"/>
      <c r="G46" s="25" t="n"/>
    </row>
    <row r="47" ht="18" customHeight="1">
      <c r="A47" s="24" t="n"/>
      <c r="B47" s="24" t="n"/>
      <c r="C47" s="24" t="n"/>
      <c r="D47" s="24" t="n"/>
      <c r="E47" s="24" t="n"/>
      <c r="F47" s="24" t="n"/>
      <c r="G47" s="24" t="n"/>
    </row>
    <row r="48" ht="22" customHeight="1">
      <c r="A48" s="16" t="inlineStr">
        <is>
          <t>TOTAL VARIABLE</t>
        </is>
      </c>
      <c r="D48" s="17">
        <f>SUM(D23:D47)</f>
        <v/>
      </c>
      <c r="E48" s="17">
        <f>SUM(E23:E47)</f>
        <v/>
      </c>
      <c r="F48" s="18" t="n"/>
      <c r="G48" s="18" t="n"/>
    </row>
    <row r="49" ht="8" customHeight="1">
      <c r="A49" s="19" t="n"/>
      <c r="B49" s="19" t="n"/>
      <c r="C49" s="19" t="n"/>
      <c r="D49" s="19" t="n"/>
      <c r="E49" s="19" t="n"/>
      <c r="F49" s="19" t="n"/>
      <c r="G49" s="19" t="n"/>
    </row>
    <row r="50" ht="26" customHeight="1">
      <c r="A50" s="26" t="inlineStr">
        <is>
          <t>💰 BALANCE</t>
        </is>
      </c>
      <c r="D50" s="27">
        <f>D5-D19-D48</f>
        <v/>
      </c>
      <c r="E50" s="27">
        <f>E5-E19-E48</f>
        <v/>
      </c>
      <c r="F50" s="28" t="n"/>
      <c r="G50" s="28" t="n"/>
    </row>
  </sheetData>
  <mergeCells count="19">
    <mergeCell ref="B16:C16"/>
    <mergeCell ref="A50:C50"/>
    <mergeCell ref="B18:C18"/>
    <mergeCell ref="B12:C12"/>
    <mergeCell ref="A5:C5"/>
    <mergeCell ref="B11:C11"/>
    <mergeCell ref="B14:C14"/>
    <mergeCell ref="B17:C17"/>
    <mergeCell ref="B13:C13"/>
    <mergeCell ref="A19:C19"/>
    <mergeCell ref="A1:G1"/>
    <mergeCell ref="B10:C10"/>
    <mergeCell ref="A7:G7"/>
    <mergeCell ref="B9:C9"/>
    <mergeCell ref="A48:C48"/>
    <mergeCell ref="B15:C15"/>
    <mergeCell ref="A3:G3"/>
    <mergeCell ref="A21:G21"/>
    <mergeCell ref="A2"/>
  </mergeCells>
  <dataValidations count="3">
    <dataValidation sqref="F23:F47" showDropDown="0" showInputMessage="0" showErrorMessage="0" allowBlank="1" type="list">
      <formula1>"Food,Transport,Health,Utilities,Entertainment,Tax,Savings,Big Buy,Personal,Other"</formula1>
    </dataValidation>
    <dataValidation sqref="G23:G47" showDropDown="0" showInputMessage="0" showErrorMessage="0" allowBlank="1" type="list">
      <formula1>"Cash ARS,USD Cash,Wise,Binance,MercadoPago,Tarjeta"</formula1>
    </dataValidation>
    <dataValidation sqref="E9:E18" showDropDown="0" showInputMessage="0" showErrorMessage="0" allowBlank="1" type="list">
      <formula1>"Pagado,Pendiente,Auto"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2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 ht="30" customHeight="1">
      <c r="A1" s="1" t="inlineStr">
        <is>
          <t>💸 SEP 2025 — GASTOS MENSUALES</t>
        </is>
      </c>
    </row>
    <row r="2" ht="22" customHeight="1">
      <c r="A2" s="2" t="inlineStr">
        <is>
          <t>USD/ARS</t>
        </is>
      </c>
      <c r="B2" s="3" t="n">
        <v>1400</v>
      </c>
      <c r="C2" s="4" t="inlineStr">
        <is>
          <t>← update monthly</t>
        </is>
      </c>
      <c r="D2" s="5" t="n"/>
      <c r="E2" s="5" t="n"/>
      <c r="F2" s="5" t="n"/>
      <c r="G2" s="5" t="n"/>
    </row>
    <row r="3" ht="24" customHeight="1">
      <c r="A3" s="6" t="inlineStr">
        <is>
          <t>▲ INGRESOS</t>
        </is>
      </c>
    </row>
    <row r="4" ht="20" customHeight="1">
      <c r="A4" s="7" t="inlineStr">
        <is>
          <t>#</t>
        </is>
      </c>
      <c r="B4" s="7" t="inlineStr">
        <is>
          <t>Source</t>
        </is>
      </c>
      <c r="C4" s="7" t="inlineStr">
        <is>
          <t>Description</t>
        </is>
      </c>
      <c r="D4" s="7" t="inlineStr">
        <is>
          <t>ARS</t>
        </is>
      </c>
      <c r="E4" s="7" t="inlineStr">
        <is>
          <t>USD</t>
        </is>
      </c>
    </row>
    <row r="5" ht="22" customHeight="1">
      <c r="A5" s="16" t="inlineStr">
        <is>
          <t>TOTAL INGRESOS</t>
        </is>
      </c>
      <c r="D5" s="17">
        <f>SUM(D5:D4)</f>
        <v/>
      </c>
      <c r="E5" s="17">
        <f>SUM(E5:E4)</f>
        <v/>
      </c>
      <c r="F5" s="18" t="n"/>
      <c r="G5" s="18" t="n"/>
    </row>
    <row r="6" ht="8" customHeight="1">
      <c r="A6" s="19" t="n"/>
      <c r="B6" s="19" t="n"/>
      <c r="C6" s="19" t="n"/>
      <c r="D6" s="19" t="n"/>
      <c r="E6" s="19" t="n"/>
      <c r="F6" s="19" t="n"/>
      <c r="G6" s="19" t="n"/>
    </row>
    <row r="7" ht="24" customHeight="1">
      <c r="A7" s="20" t="inlineStr">
        <is>
          <t>▼ EGRESOS FIJOS</t>
        </is>
      </c>
    </row>
    <row r="8" ht="20" customHeight="1">
      <c r="A8" s="21" t="inlineStr">
        <is>
          <t>#</t>
        </is>
      </c>
      <c r="B8" s="21" t="inlineStr">
        <is>
          <t>Description</t>
        </is>
      </c>
      <c r="C8" s="21" t="inlineStr">
        <is>
          <t>ARS</t>
        </is>
      </c>
      <c r="D8" s="21" t="inlineStr">
        <is>
          <t>USD</t>
        </is>
      </c>
      <c r="E8" s="21" t="inlineStr">
        <is>
          <t>Status</t>
        </is>
      </c>
      <c r="F8" s="21" t="inlineStr"/>
      <c r="G8" s="21" t="inlineStr"/>
    </row>
    <row r="9" ht="18" customHeight="1">
      <c r="A9" s="8" t="n">
        <v>1</v>
      </c>
      <c r="B9" s="9" t="inlineStr">
        <is>
          <t>Swiss</t>
        </is>
      </c>
      <c r="D9" s="10" t="n">
        <v>150000</v>
      </c>
      <c r="E9" s="10">
        <f>IF(D9&gt;0,D9/B$2,"")</f>
        <v/>
      </c>
      <c r="F9" s="9" t="inlineStr"/>
      <c r="G9" s="11" t="n"/>
    </row>
    <row r="10" ht="18" customHeight="1">
      <c r="A10" s="12" t="n">
        <v>2</v>
      </c>
      <c r="B10" s="13" t="inlineStr">
        <is>
          <t>Olav Depto</t>
        </is>
      </c>
      <c r="D10" s="14" t="n">
        <v>100000</v>
      </c>
      <c r="E10" s="14">
        <f>IF(D10&gt;0,D10/B$2,"")</f>
        <v/>
      </c>
      <c r="F10" s="13" t="inlineStr"/>
      <c r="G10" s="15" t="n"/>
    </row>
    <row r="11" ht="18" customHeight="1">
      <c r="A11" s="8" t="n">
        <v>3</v>
      </c>
      <c r="B11" s="9" t="inlineStr">
        <is>
          <t>Gym+Cal</t>
        </is>
      </c>
      <c r="D11" s="10" t="n">
        <v>37000</v>
      </c>
      <c r="E11" s="10">
        <f>IF(D11&gt;0,D11/B$2,"")</f>
        <v/>
      </c>
      <c r="F11" s="9" t="inlineStr"/>
      <c r="G11" s="11" t="n"/>
    </row>
    <row r="12" ht="18" customHeight="1">
      <c r="A12" s="12" t="n">
        <v>4</v>
      </c>
      <c r="B12" s="13" t="inlineStr">
        <is>
          <t>Asisa</t>
        </is>
      </c>
      <c r="D12" s="14" t="n">
        <v>50000</v>
      </c>
      <c r="E12" s="14">
        <f>IF(D12&gt;0,D12/B$2,"")</f>
        <v/>
      </c>
      <c r="F12" s="13" t="inlineStr"/>
      <c r="G12" s="15" t="n"/>
    </row>
    <row r="13" ht="18" customHeight="1">
      <c r="A13" s="8" t="n">
        <v>5</v>
      </c>
      <c r="B13" s="9" t="inlineStr">
        <is>
          <t>Santander Esp</t>
        </is>
      </c>
      <c r="D13" s="10" t="n">
        <v>20000</v>
      </c>
      <c r="E13" s="10">
        <f>IF(D13&gt;0,D13/B$2,"")</f>
        <v/>
      </c>
      <c r="F13" s="9" t="inlineStr"/>
      <c r="G13" s="11" t="n"/>
    </row>
    <row r="14" ht="18" customHeight="1">
      <c r="A14" s="12" t="n">
        <v>6</v>
      </c>
      <c r="B14" s="13" t="inlineStr">
        <is>
          <t>Psico</t>
        </is>
      </c>
      <c r="D14" s="14" t="n">
        <v>16000</v>
      </c>
      <c r="E14" s="14">
        <f>IF(D14&gt;0,D14/B$2,"")</f>
        <v/>
      </c>
      <c r="F14" s="13" t="inlineStr"/>
      <c r="G14" s="15" t="n"/>
    </row>
    <row r="15" ht="18" customHeight="1">
      <c r="A15" s="8" t="n">
        <v>7</v>
      </c>
      <c r="B15" s="9" t="inlineStr">
        <is>
          <t>Comida Olav</t>
        </is>
      </c>
      <c r="D15" s="10" t="n">
        <v>600000</v>
      </c>
      <c r="E15" s="10">
        <f>IF(D15&gt;0,D15/B$2,"")</f>
        <v/>
      </c>
      <c r="F15" s="9" t="inlineStr"/>
      <c r="G15" s="11" t="n"/>
    </row>
    <row r="16" ht="22" customHeight="1">
      <c r="A16" s="16" t="inlineStr">
        <is>
          <t>TOTAL FIJOS</t>
        </is>
      </c>
      <c r="D16" s="17">
        <f>SUM(D9:D15)</f>
        <v/>
      </c>
      <c r="E16" s="17">
        <f>SUM(E9:E15)</f>
        <v/>
      </c>
      <c r="F16" s="18" t="n"/>
      <c r="G16" s="18" t="n"/>
    </row>
    <row r="17" ht="8" customHeight="1">
      <c r="A17" s="19" t="n"/>
      <c r="B17" s="19" t="n"/>
      <c r="C17" s="19" t="n"/>
      <c r="D17" s="19" t="n"/>
      <c r="E17" s="19" t="n"/>
      <c r="F17" s="19" t="n"/>
      <c r="G17" s="19" t="n"/>
    </row>
    <row r="18" ht="24" customHeight="1">
      <c r="A18" s="22" t="inlineStr">
        <is>
          <t>📋 GASTOS DEL MES</t>
        </is>
      </c>
    </row>
    <row r="19" ht="20" customHeight="1">
      <c r="A19" s="23" t="inlineStr">
        <is>
          <t>#</t>
        </is>
      </c>
      <c r="B19" s="23" t="inlineStr">
        <is>
          <t>Date</t>
        </is>
      </c>
      <c r="C19" s="23" t="inlineStr">
        <is>
          <t>Description</t>
        </is>
      </c>
      <c r="D19" s="23" t="inlineStr">
        <is>
          <t>ARS</t>
        </is>
      </c>
      <c r="E19" s="23" t="inlineStr">
        <is>
          <t>USD</t>
        </is>
      </c>
      <c r="F19" s="23" t="inlineStr">
        <is>
          <t>Category</t>
        </is>
      </c>
      <c r="G19" s="23" t="inlineStr">
        <is>
          <t>Payment</t>
        </is>
      </c>
    </row>
    <row r="20" ht="18" customHeight="1">
      <c r="A20" s="8" t="n">
        <v>1</v>
      </c>
      <c r="B20" s="8" t="inlineStr">
        <is>
          <t>08</t>
        </is>
      </c>
      <c r="C20" s="9" t="inlineStr">
        <is>
          <t>Reme Patagonia</t>
        </is>
      </c>
      <c r="D20" s="10" t="n">
        <v>43000</v>
      </c>
      <c r="E20" s="10">
        <f>IF(D20&gt;0,D20/B$2,"")</f>
        <v/>
      </c>
      <c r="F20" s="9" t="inlineStr"/>
      <c r="G20" s="9" t="inlineStr"/>
    </row>
    <row r="21" ht="18" customHeight="1">
      <c r="A21" s="12" t="n">
        <v>2</v>
      </c>
      <c r="B21" s="12" t="inlineStr">
        <is>
          <t>15</t>
        </is>
      </c>
      <c r="C21" s="13" t="inlineStr">
        <is>
          <t>Havana</t>
        </is>
      </c>
      <c r="D21" s="14" t="n">
        <v>50000</v>
      </c>
      <c r="E21" s="14">
        <f>IF(D21&gt;0,D21/B$2,"")</f>
        <v/>
      </c>
      <c r="F21" s="13" t="inlineStr"/>
      <c r="G21" s="13" t="inlineStr"/>
    </row>
    <row r="22" ht="18" customHeight="1">
      <c r="A22" s="24" t="n"/>
      <c r="B22" s="24" t="n"/>
      <c r="C22" s="24" t="n"/>
      <c r="D22" s="24" t="n"/>
      <c r="E22" s="24" t="n"/>
      <c r="F22" s="24" t="n"/>
      <c r="G22" s="24" t="n"/>
    </row>
    <row r="23" ht="18" customHeight="1">
      <c r="A23" s="25" t="n"/>
      <c r="B23" s="25" t="n"/>
      <c r="C23" s="25" t="n"/>
      <c r="D23" s="25" t="n"/>
      <c r="E23" s="25" t="n"/>
      <c r="F23" s="25" t="n"/>
      <c r="G23" s="25" t="n"/>
    </row>
    <row r="24" ht="18" customHeight="1">
      <c r="A24" s="24" t="n"/>
      <c r="B24" s="24" t="n"/>
      <c r="C24" s="24" t="n"/>
      <c r="D24" s="24" t="n"/>
      <c r="E24" s="24" t="n"/>
      <c r="F24" s="24" t="n"/>
      <c r="G24" s="24" t="n"/>
    </row>
    <row r="25" ht="18" customHeight="1">
      <c r="A25" s="25" t="n"/>
      <c r="B25" s="25" t="n"/>
      <c r="C25" s="25" t="n"/>
      <c r="D25" s="25" t="n"/>
      <c r="E25" s="25" t="n"/>
      <c r="F25" s="25" t="n"/>
      <c r="G25" s="25" t="n"/>
    </row>
    <row r="26" ht="18" customHeight="1">
      <c r="A26" s="24" t="n"/>
      <c r="B26" s="24" t="n"/>
      <c r="C26" s="24" t="n"/>
      <c r="D26" s="24" t="n"/>
      <c r="E26" s="24" t="n"/>
      <c r="F26" s="24" t="n"/>
      <c r="G26" s="24" t="n"/>
    </row>
    <row r="27" ht="18" customHeight="1">
      <c r="A27" s="25" t="n"/>
      <c r="B27" s="25" t="n"/>
      <c r="C27" s="25" t="n"/>
      <c r="D27" s="25" t="n"/>
      <c r="E27" s="25" t="n"/>
      <c r="F27" s="25" t="n"/>
      <c r="G27" s="25" t="n"/>
    </row>
    <row r="28" ht="18" customHeight="1">
      <c r="A28" s="24" t="n"/>
      <c r="B28" s="24" t="n"/>
      <c r="C28" s="24" t="n"/>
      <c r="D28" s="24" t="n"/>
      <c r="E28" s="24" t="n"/>
      <c r="F28" s="24" t="n"/>
      <c r="G28" s="24" t="n"/>
    </row>
    <row r="29" ht="18" customHeight="1">
      <c r="A29" s="25" t="n"/>
      <c r="B29" s="25" t="n"/>
      <c r="C29" s="25" t="n"/>
      <c r="D29" s="25" t="n"/>
      <c r="E29" s="25" t="n"/>
      <c r="F29" s="25" t="n"/>
      <c r="G29" s="25" t="n"/>
    </row>
    <row r="30" ht="18" customHeight="1">
      <c r="A30" s="24" t="n"/>
      <c r="B30" s="24" t="n"/>
      <c r="C30" s="24" t="n"/>
      <c r="D30" s="24" t="n"/>
      <c r="E30" s="24" t="n"/>
      <c r="F30" s="24" t="n"/>
      <c r="G30" s="24" t="n"/>
    </row>
    <row r="31" ht="18" customHeight="1">
      <c r="A31" s="25" t="n"/>
      <c r="B31" s="25" t="n"/>
      <c r="C31" s="25" t="n"/>
      <c r="D31" s="25" t="n"/>
      <c r="E31" s="25" t="n"/>
      <c r="F31" s="25" t="n"/>
      <c r="G31" s="25" t="n"/>
    </row>
    <row r="32" ht="18" customHeight="1">
      <c r="A32" s="24" t="n"/>
      <c r="B32" s="24" t="n"/>
      <c r="C32" s="24" t="n"/>
      <c r="D32" s="24" t="n"/>
      <c r="E32" s="24" t="n"/>
      <c r="F32" s="24" t="n"/>
      <c r="G32" s="24" t="n"/>
    </row>
    <row r="33" ht="18" customHeight="1">
      <c r="A33" s="25" t="n"/>
      <c r="B33" s="25" t="n"/>
      <c r="C33" s="25" t="n"/>
      <c r="D33" s="25" t="n"/>
      <c r="E33" s="25" t="n"/>
      <c r="F33" s="25" t="n"/>
      <c r="G33" s="25" t="n"/>
    </row>
    <row r="34" ht="18" customHeight="1">
      <c r="A34" s="24" t="n"/>
      <c r="B34" s="24" t="n"/>
      <c r="C34" s="24" t="n"/>
      <c r="D34" s="24" t="n"/>
      <c r="E34" s="24" t="n"/>
      <c r="F34" s="24" t="n"/>
      <c r="G34" s="24" t="n"/>
    </row>
    <row r="35" ht="18" customHeight="1">
      <c r="A35" s="25" t="n"/>
      <c r="B35" s="25" t="n"/>
      <c r="C35" s="25" t="n"/>
      <c r="D35" s="25" t="n"/>
      <c r="E35" s="25" t="n"/>
      <c r="F35" s="25" t="n"/>
      <c r="G35" s="25" t="n"/>
    </row>
    <row r="36" ht="18" customHeight="1">
      <c r="A36" s="24" t="n"/>
      <c r="B36" s="24" t="n"/>
      <c r="C36" s="24" t="n"/>
      <c r="D36" s="24" t="n"/>
      <c r="E36" s="24" t="n"/>
      <c r="F36" s="24" t="n"/>
      <c r="G36" s="24" t="n"/>
    </row>
    <row r="37" ht="18" customHeight="1">
      <c r="A37" s="25" t="n"/>
      <c r="B37" s="25" t="n"/>
      <c r="C37" s="25" t="n"/>
      <c r="D37" s="25" t="n"/>
      <c r="E37" s="25" t="n"/>
      <c r="F37" s="25" t="n"/>
      <c r="G37" s="25" t="n"/>
    </row>
    <row r="38" ht="18" customHeight="1">
      <c r="A38" s="24" t="n"/>
      <c r="B38" s="24" t="n"/>
      <c r="C38" s="24" t="n"/>
      <c r="D38" s="24" t="n"/>
      <c r="E38" s="24" t="n"/>
      <c r="F38" s="24" t="n"/>
      <c r="G38" s="24" t="n"/>
    </row>
    <row r="39" ht="18" customHeight="1">
      <c r="A39" s="25" t="n"/>
      <c r="B39" s="25" t="n"/>
      <c r="C39" s="25" t="n"/>
      <c r="D39" s="25" t="n"/>
      <c r="E39" s="25" t="n"/>
      <c r="F39" s="25" t="n"/>
      <c r="G39" s="25" t="n"/>
    </row>
    <row r="40" ht="18" customHeight="1">
      <c r="A40" s="24" t="n"/>
      <c r="B40" s="24" t="n"/>
      <c r="C40" s="24" t="n"/>
      <c r="D40" s="24" t="n"/>
      <c r="E40" s="24" t="n"/>
      <c r="F40" s="24" t="n"/>
      <c r="G40" s="24" t="n"/>
    </row>
    <row r="41" ht="18" customHeight="1">
      <c r="A41" s="25" t="n"/>
      <c r="B41" s="25" t="n"/>
      <c r="C41" s="25" t="n"/>
      <c r="D41" s="25" t="n"/>
      <c r="E41" s="25" t="n"/>
      <c r="F41" s="25" t="n"/>
      <c r="G41" s="25" t="n"/>
    </row>
    <row r="42" ht="18" customHeight="1">
      <c r="A42" s="24" t="n"/>
      <c r="B42" s="24" t="n"/>
      <c r="C42" s="24" t="n"/>
      <c r="D42" s="24" t="n"/>
      <c r="E42" s="24" t="n"/>
      <c r="F42" s="24" t="n"/>
      <c r="G42" s="24" t="n"/>
    </row>
    <row r="43" ht="18" customHeight="1">
      <c r="A43" s="25" t="n"/>
      <c r="B43" s="25" t="n"/>
      <c r="C43" s="25" t="n"/>
      <c r="D43" s="25" t="n"/>
      <c r="E43" s="25" t="n"/>
      <c r="F43" s="25" t="n"/>
      <c r="G43" s="25" t="n"/>
    </row>
    <row r="44" ht="18" customHeight="1">
      <c r="A44" s="24" t="n"/>
      <c r="B44" s="24" t="n"/>
      <c r="C44" s="24" t="n"/>
      <c r="D44" s="24" t="n"/>
      <c r="E44" s="24" t="n"/>
      <c r="F44" s="24" t="n"/>
      <c r="G44" s="24" t="n"/>
    </row>
    <row r="45" ht="22" customHeight="1">
      <c r="A45" s="16" t="inlineStr">
        <is>
          <t>TOTAL VARIABLE</t>
        </is>
      </c>
      <c r="D45" s="17">
        <f>SUM(D20:D44)</f>
        <v/>
      </c>
      <c r="E45" s="17">
        <f>SUM(E20:E44)</f>
        <v/>
      </c>
      <c r="F45" s="18" t="n"/>
      <c r="G45" s="18" t="n"/>
    </row>
    <row r="46" ht="8" customHeight="1">
      <c r="A46" s="19" t="n"/>
      <c r="B46" s="19" t="n"/>
      <c r="C46" s="19" t="n"/>
      <c r="D46" s="19" t="n"/>
      <c r="E46" s="19" t="n"/>
      <c r="F46" s="19" t="n"/>
      <c r="G46" s="19" t="n"/>
    </row>
    <row r="47" ht="26" customHeight="1">
      <c r="A47" s="26" t="inlineStr">
        <is>
          <t>💰 BALANCE</t>
        </is>
      </c>
      <c r="D47" s="27">
        <f>D5-D16-D45</f>
        <v/>
      </c>
      <c r="E47" s="27">
        <f>E5-E16-E45</f>
        <v/>
      </c>
      <c r="F47" s="28" t="n"/>
      <c r="G47" s="28" t="n"/>
    </row>
  </sheetData>
  <mergeCells count="16">
    <mergeCell ref="B13:C13"/>
    <mergeCell ref="A1:G1"/>
    <mergeCell ref="B15:C15"/>
    <mergeCell ref="A18:G18"/>
    <mergeCell ref="A5:C5"/>
    <mergeCell ref="B11:C11"/>
    <mergeCell ref="A3:G3"/>
    <mergeCell ref="A45:C45"/>
    <mergeCell ref="A47:C47"/>
    <mergeCell ref="B10:C10"/>
    <mergeCell ref="A2"/>
    <mergeCell ref="B14:C14"/>
    <mergeCell ref="A7:G7"/>
    <mergeCell ref="B9:C9"/>
    <mergeCell ref="A16:C16"/>
    <mergeCell ref="B12:C12"/>
  </mergeCells>
  <dataValidations count="3">
    <dataValidation sqref="F20:F44" showDropDown="0" showInputMessage="0" showErrorMessage="0" allowBlank="1" type="list">
      <formula1>"Food,Transport,Health,Utilities,Entertainment,Tax,Savings,Big Buy,Personal,Other"</formula1>
    </dataValidation>
    <dataValidation sqref="G20:G44" showDropDown="0" showInputMessage="0" showErrorMessage="0" allowBlank="1" type="list">
      <formula1>"Cash ARS,USD Cash,Wise,Binance,MercadoPago,Tarjeta"</formula1>
    </dataValidation>
    <dataValidation sqref="E9:E15" showDropDown="0" showInputMessage="0" showErrorMessage="0" allowBlank="1" type="list">
      <formula1>"Pagado,Pendiente,Auto"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2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 ht="30" customHeight="1">
      <c r="A1" s="1" t="inlineStr">
        <is>
          <t>💸 OCT 2025 — GASTOS MENSUALES</t>
        </is>
      </c>
    </row>
    <row r="2" ht="22" customHeight="1">
      <c r="A2" s="2" t="inlineStr">
        <is>
          <t>USD/ARS</t>
        </is>
      </c>
      <c r="B2" s="3" t="n">
        <v>1450</v>
      </c>
      <c r="C2" s="4" t="inlineStr">
        <is>
          <t>← update monthly</t>
        </is>
      </c>
      <c r="D2" s="5" t="n"/>
      <c r="E2" s="5" t="n"/>
      <c r="F2" s="5" t="n"/>
      <c r="G2" s="5" t="n"/>
    </row>
    <row r="3" ht="24" customHeight="1">
      <c r="A3" s="6" t="inlineStr">
        <is>
          <t>▲ INGRESOS</t>
        </is>
      </c>
    </row>
    <row r="4" ht="20" customHeight="1">
      <c r="A4" s="7" t="inlineStr">
        <is>
          <t>#</t>
        </is>
      </c>
      <c r="B4" s="7" t="inlineStr">
        <is>
          <t>Source</t>
        </is>
      </c>
      <c r="C4" s="7" t="inlineStr">
        <is>
          <t>Description</t>
        </is>
      </c>
      <c r="D4" s="7" t="inlineStr">
        <is>
          <t>ARS</t>
        </is>
      </c>
      <c r="E4" s="7" t="inlineStr">
        <is>
          <t>USD</t>
        </is>
      </c>
    </row>
    <row r="5" ht="22" customHeight="1">
      <c r="A5" s="16" t="inlineStr">
        <is>
          <t>TOTAL INGRESOS</t>
        </is>
      </c>
      <c r="D5" s="17">
        <f>SUM(D5:D4)</f>
        <v/>
      </c>
      <c r="E5" s="17">
        <f>SUM(E5:E4)</f>
        <v/>
      </c>
      <c r="F5" s="18" t="n"/>
      <c r="G5" s="18" t="n"/>
    </row>
    <row r="6" ht="8" customHeight="1">
      <c r="A6" s="19" t="n"/>
      <c r="B6" s="19" t="n"/>
      <c r="C6" s="19" t="n"/>
      <c r="D6" s="19" t="n"/>
      <c r="E6" s="19" t="n"/>
      <c r="F6" s="19" t="n"/>
      <c r="G6" s="19" t="n"/>
    </row>
    <row r="7" ht="24" customHeight="1">
      <c r="A7" s="20" t="inlineStr">
        <is>
          <t>▼ EGRESOS FIJOS</t>
        </is>
      </c>
    </row>
    <row r="8" ht="20" customHeight="1">
      <c r="A8" s="21" t="inlineStr">
        <is>
          <t>#</t>
        </is>
      </c>
      <c r="B8" s="21" t="inlineStr">
        <is>
          <t>Description</t>
        </is>
      </c>
      <c r="C8" s="21" t="inlineStr">
        <is>
          <t>ARS</t>
        </is>
      </c>
      <c r="D8" s="21" t="inlineStr">
        <is>
          <t>USD</t>
        </is>
      </c>
      <c r="E8" s="21" t="inlineStr">
        <is>
          <t>Status</t>
        </is>
      </c>
      <c r="F8" s="21" t="inlineStr"/>
      <c r="G8" s="21" t="inlineStr"/>
    </row>
    <row r="9" ht="18" customHeight="1">
      <c r="A9" s="8" t="n">
        <v>1</v>
      </c>
      <c r="B9" s="9" t="inlineStr">
        <is>
          <t>Swiss</t>
        </is>
      </c>
      <c r="D9" s="10" t="n">
        <v>165000</v>
      </c>
      <c r="E9" s="10">
        <f>IF(D9&gt;0,D9/B$2,"")</f>
        <v/>
      </c>
      <c r="F9" s="9" t="inlineStr"/>
      <c r="G9" s="11" t="n"/>
    </row>
    <row r="10" ht="18" customHeight="1">
      <c r="A10" s="12" t="n">
        <v>2</v>
      </c>
      <c r="B10" s="13" t="inlineStr">
        <is>
          <t>Olav Depto</t>
        </is>
      </c>
      <c r="D10" s="14" t="n">
        <v>100000</v>
      </c>
      <c r="E10" s="14">
        <f>IF(D10&gt;0,D10/B$2,"")</f>
        <v/>
      </c>
      <c r="F10" s="13" t="inlineStr"/>
      <c r="G10" s="15" t="n"/>
    </row>
    <row r="11" ht="18" customHeight="1">
      <c r="A11" s="8" t="n">
        <v>3</v>
      </c>
      <c r="B11" s="9" t="inlineStr">
        <is>
          <t>Endomedicame</t>
        </is>
      </c>
      <c r="D11" s="10" t="n">
        <v>50000</v>
      </c>
      <c r="E11" s="10">
        <f>IF(D11&gt;0,D11/B$2,"")</f>
        <v/>
      </c>
      <c r="F11" s="9" t="inlineStr"/>
      <c r="G11" s="11" t="n"/>
    </row>
    <row r="12" ht="18" customHeight="1">
      <c r="A12" s="12" t="n">
        <v>4</v>
      </c>
      <c r="B12" s="13" t="inlineStr">
        <is>
          <t>Gym</t>
        </is>
      </c>
      <c r="D12" s="14" t="n">
        <v>37000</v>
      </c>
      <c r="E12" s="14">
        <f>IF(D12&gt;0,D12/B$2,"")</f>
        <v/>
      </c>
      <c r="F12" s="13" t="inlineStr"/>
      <c r="G12" s="15" t="n"/>
    </row>
    <row r="13" ht="18" customHeight="1">
      <c r="A13" s="8" t="n">
        <v>5</v>
      </c>
      <c r="B13" s="9" t="inlineStr">
        <is>
          <t>Asisa</t>
        </is>
      </c>
      <c r="D13" s="10" t="n">
        <v>50000</v>
      </c>
      <c r="E13" s="10">
        <f>IF(D13&gt;0,D13/B$2,"")</f>
        <v/>
      </c>
      <c r="F13" s="9" t="inlineStr"/>
      <c r="G13" s="11" t="n"/>
    </row>
    <row r="14" ht="18" customHeight="1">
      <c r="A14" s="12" t="n">
        <v>6</v>
      </c>
      <c r="B14" s="13" t="inlineStr">
        <is>
          <t>Santander Esp</t>
        </is>
      </c>
      <c r="D14" s="14" t="n">
        <v>20000</v>
      </c>
      <c r="E14" s="14">
        <f>IF(D14&gt;0,D14/B$2,"")</f>
        <v/>
      </c>
      <c r="F14" s="13" t="inlineStr"/>
      <c r="G14" s="15" t="n"/>
    </row>
    <row r="15" ht="18" customHeight="1">
      <c r="A15" s="8" t="n">
        <v>7</v>
      </c>
      <c r="B15" s="9" t="inlineStr">
        <is>
          <t>Psico</t>
        </is>
      </c>
      <c r="D15" s="10" t="n">
        <v>16000</v>
      </c>
      <c r="E15" s="10">
        <f>IF(D15&gt;0,D15/B$2,"")</f>
        <v/>
      </c>
      <c r="F15" s="9" t="inlineStr"/>
      <c r="G15" s="11" t="n"/>
    </row>
    <row r="16" ht="18" customHeight="1">
      <c r="A16" s="12" t="n">
        <v>8</v>
      </c>
      <c r="B16" s="13" t="inlineStr">
        <is>
          <t>Comida Olav</t>
        </is>
      </c>
      <c r="D16" s="14" t="n">
        <v>600000</v>
      </c>
      <c r="E16" s="14">
        <f>IF(D16&gt;0,D16/B$2,"")</f>
        <v/>
      </c>
      <c r="F16" s="13" t="inlineStr"/>
      <c r="G16" s="15" t="n"/>
    </row>
    <row r="17" ht="22" customHeight="1">
      <c r="A17" s="16" t="inlineStr">
        <is>
          <t>TOTAL FIJOS</t>
        </is>
      </c>
      <c r="D17" s="17">
        <f>SUM(D9:D16)</f>
        <v/>
      </c>
      <c r="E17" s="17">
        <f>SUM(E9:E16)</f>
        <v/>
      </c>
      <c r="F17" s="18" t="n"/>
      <c r="G17" s="18" t="n"/>
    </row>
    <row r="18" ht="8" customHeight="1">
      <c r="A18" s="19" t="n"/>
      <c r="B18" s="19" t="n"/>
      <c r="C18" s="19" t="n"/>
      <c r="D18" s="19" t="n"/>
      <c r="E18" s="19" t="n"/>
      <c r="F18" s="19" t="n"/>
      <c r="G18" s="19" t="n"/>
    </row>
    <row r="19" ht="24" customHeight="1">
      <c r="A19" s="22" t="inlineStr">
        <is>
          <t>📋 GASTOS DEL MES</t>
        </is>
      </c>
    </row>
    <row r="20" ht="20" customHeight="1">
      <c r="A20" s="23" t="inlineStr">
        <is>
          <t>#</t>
        </is>
      </c>
      <c r="B20" s="23" t="inlineStr">
        <is>
          <t>Date</t>
        </is>
      </c>
      <c r="C20" s="23" t="inlineStr">
        <is>
          <t>Description</t>
        </is>
      </c>
      <c r="D20" s="23" t="inlineStr">
        <is>
          <t>ARS</t>
        </is>
      </c>
      <c r="E20" s="23" t="inlineStr">
        <is>
          <t>USD</t>
        </is>
      </c>
      <c r="F20" s="23" t="inlineStr">
        <is>
          <t>Category</t>
        </is>
      </c>
      <c r="G20" s="23" t="inlineStr">
        <is>
          <t>Payment</t>
        </is>
      </c>
    </row>
    <row r="21" ht="18" customHeight="1">
      <c r="A21" s="24" t="n"/>
      <c r="B21" s="24" t="n"/>
      <c r="C21" s="24" t="n"/>
      <c r="D21" s="24" t="n"/>
      <c r="E21" s="24" t="n"/>
      <c r="F21" s="24" t="n"/>
      <c r="G21" s="24" t="n"/>
    </row>
    <row r="22" ht="18" customHeight="1">
      <c r="A22" s="25" t="n"/>
      <c r="B22" s="25" t="n"/>
      <c r="C22" s="25" t="n"/>
      <c r="D22" s="25" t="n"/>
      <c r="E22" s="25" t="n"/>
      <c r="F22" s="25" t="n"/>
      <c r="G22" s="25" t="n"/>
    </row>
    <row r="23" ht="18" customHeight="1">
      <c r="A23" s="24" t="n"/>
      <c r="B23" s="24" t="n"/>
      <c r="C23" s="24" t="n"/>
      <c r="D23" s="24" t="n"/>
      <c r="E23" s="24" t="n"/>
      <c r="F23" s="24" t="n"/>
      <c r="G23" s="24" t="n"/>
    </row>
    <row r="24" ht="18" customHeight="1">
      <c r="A24" s="25" t="n"/>
      <c r="B24" s="25" t="n"/>
      <c r="C24" s="25" t="n"/>
      <c r="D24" s="25" t="n"/>
      <c r="E24" s="25" t="n"/>
      <c r="F24" s="25" t="n"/>
      <c r="G24" s="25" t="n"/>
    </row>
    <row r="25" ht="18" customHeight="1">
      <c r="A25" s="24" t="n"/>
      <c r="B25" s="24" t="n"/>
      <c r="C25" s="24" t="n"/>
      <c r="D25" s="24" t="n"/>
      <c r="E25" s="24" t="n"/>
      <c r="F25" s="24" t="n"/>
      <c r="G25" s="24" t="n"/>
    </row>
    <row r="26" ht="18" customHeight="1">
      <c r="A26" s="25" t="n"/>
      <c r="B26" s="25" t="n"/>
      <c r="C26" s="25" t="n"/>
      <c r="D26" s="25" t="n"/>
      <c r="E26" s="25" t="n"/>
      <c r="F26" s="25" t="n"/>
      <c r="G26" s="25" t="n"/>
    </row>
    <row r="27" ht="18" customHeight="1">
      <c r="A27" s="24" t="n"/>
      <c r="B27" s="24" t="n"/>
      <c r="C27" s="24" t="n"/>
      <c r="D27" s="24" t="n"/>
      <c r="E27" s="24" t="n"/>
      <c r="F27" s="24" t="n"/>
      <c r="G27" s="24" t="n"/>
    </row>
    <row r="28" ht="18" customHeight="1">
      <c r="A28" s="25" t="n"/>
      <c r="B28" s="25" t="n"/>
      <c r="C28" s="25" t="n"/>
      <c r="D28" s="25" t="n"/>
      <c r="E28" s="25" t="n"/>
      <c r="F28" s="25" t="n"/>
      <c r="G28" s="25" t="n"/>
    </row>
    <row r="29" ht="18" customHeight="1">
      <c r="A29" s="24" t="n"/>
      <c r="B29" s="24" t="n"/>
      <c r="C29" s="24" t="n"/>
      <c r="D29" s="24" t="n"/>
      <c r="E29" s="24" t="n"/>
      <c r="F29" s="24" t="n"/>
      <c r="G29" s="24" t="n"/>
    </row>
    <row r="30" ht="18" customHeight="1">
      <c r="A30" s="25" t="n"/>
      <c r="B30" s="25" t="n"/>
      <c r="C30" s="25" t="n"/>
      <c r="D30" s="25" t="n"/>
      <c r="E30" s="25" t="n"/>
      <c r="F30" s="25" t="n"/>
      <c r="G30" s="25" t="n"/>
    </row>
    <row r="31" ht="18" customHeight="1">
      <c r="A31" s="24" t="n"/>
      <c r="B31" s="24" t="n"/>
      <c r="C31" s="24" t="n"/>
      <c r="D31" s="24" t="n"/>
      <c r="E31" s="24" t="n"/>
      <c r="F31" s="24" t="n"/>
      <c r="G31" s="24" t="n"/>
    </row>
    <row r="32" ht="18" customHeight="1">
      <c r="A32" s="25" t="n"/>
      <c r="B32" s="25" t="n"/>
      <c r="C32" s="25" t="n"/>
      <c r="D32" s="25" t="n"/>
      <c r="E32" s="25" t="n"/>
      <c r="F32" s="25" t="n"/>
      <c r="G32" s="25" t="n"/>
    </row>
    <row r="33" ht="18" customHeight="1">
      <c r="A33" s="24" t="n"/>
      <c r="B33" s="24" t="n"/>
      <c r="C33" s="24" t="n"/>
      <c r="D33" s="24" t="n"/>
      <c r="E33" s="24" t="n"/>
      <c r="F33" s="24" t="n"/>
      <c r="G33" s="24" t="n"/>
    </row>
    <row r="34" ht="18" customHeight="1">
      <c r="A34" s="25" t="n"/>
      <c r="B34" s="25" t="n"/>
      <c r="C34" s="25" t="n"/>
      <c r="D34" s="25" t="n"/>
      <c r="E34" s="25" t="n"/>
      <c r="F34" s="25" t="n"/>
      <c r="G34" s="25" t="n"/>
    </row>
    <row r="35" ht="18" customHeight="1">
      <c r="A35" s="24" t="n"/>
      <c r="B35" s="24" t="n"/>
      <c r="C35" s="24" t="n"/>
      <c r="D35" s="24" t="n"/>
      <c r="E35" s="24" t="n"/>
      <c r="F35" s="24" t="n"/>
      <c r="G35" s="24" t="n"/>
    </row>
    <row r="36" ht="18" customHeight="1">
      <c r="A36" s="25" t="n"/>
      <c r="B36" s="25" t="n"/>
      <c r="C36" s="25" t="n"/>
      <c r="D36" s="25" t="n"/>
      <c r="E36" s="25" t="n"/>
      <c r="F36" s="25" t="n"/>
      <c r="G36" s="25" t="n"/>
    </row>
    <row r="37" ht="18" customHeight="1">
      <c r="A37" s="24" t="n"/>
      <c r="B37" s="24" t="n"/>
      <c r="C37" s="24" t="n"/>
      <c r="D37" s="24" t="n"/>
      <c r="E37" s="24" t="n"/>
      <c r="F37" s="24" t="n"/>
      <c r="G37" s="24" t="n"/>
    </row>
    <row r="38" ht="18" customHeight="1">
      <c r="A38" s="25" t="n"/>
      <c r="B38" s="25" t="n"/>
      <c r="C38" s="25" t="n"/>
      <c r="D38" s="25" t="n"/>
      <c r="E38" s="25" t="n"/>
      <c r="F38" s="25" t="n"/>
      <c r="G38" s="25" t="n"/>
    </row>
    <row r="39" ht="18" customHeight="1">
      <c r="A39" s="24" t="n"/>
      <c r="B39" s="24" t="n"/>
      <c r="C39" s="24" t="n"/>
      <c r="D39" s="24" t="n"/>
      <c r="E39" s="24" t="n"/>
      <c r="F39" s="24" t="n"/>
      <c r="G39" s="24" t="n"/>
    </row>
    <row r="40" ht="18" customHeight="1">
      <c r="A40" s="25" t="n"/>
      <c r="B40" s="25" t="n"/>
      <c r="C40" s="25" t="n"/>
      <c r="D40" s="25" t="n"/>
      <c r="E40" s="25" t="n"/>
      <c r="F40" s="25" t="n"/>
      <c r="G40" s="25" t="n"/>
    </row>
    <row r="41" ht="18" customHeight="1">
      <c r="A41" s="24" t="n"/>
      <c r="B41" s="24" t="n"/>
      <c r="C41" s="24" t="n"/>
      <c r="D41" s="24" t="n"/>
      <c r="E41" s="24" t="n"/>
      <c r="F41" s="24" t="n"/>
      <c r="G41" s="24" t="n"/>
    </row>
    <row r="42" ht="18" customHeight="1">
      <c r="A42" s="25" t="n"/>
      <c r="B42" s="25" t="n"/>
      <c r="C42" s="25" t="n"/>
      <c r="D42" s="25" t="n"/>
      <c r="E42" s="25" t="n"/>
      <c r="F42" s="25" t="n"/>
      <c r="G42" s="25" t="n"/>
    </row>
    <row r="43" ht="18" customHeight="1">
      <c r="A43" s="24" t="n"/>
      <c r="B43" s="24" t="n"/>
      <c r="C43" s="24" t="n"/>
      <c r="D43" s="24" t="n"/>
      <c r="E43" s="24" t="n"/>
      <c r="F43" s="24" t="n"/>
      <c r="G43" s="24" t="n"/>
    </row>
    <row r="44" ht="18" customHeight="1">
      <c r="A44" s="25" t="n"/>
      <c r="B44" s="25" t="n"/>
      <c r="C44" s="25" t="n"/>
      <c r="D44" s="25" t="n"/>
      <c r="E44" s="25" t="n"/>
      <c r="F44" s="25" t="n"/>
      <c r="G44" s="25" t="n"/>
    </row>
    <row r="45" ht="18" customHeight="1">
      <c r="A45" s="24" t="n"/>
      <c r="B45" s="24" t="n"/>
      <c r="C45" s="24" t="n"/>
      <c r="D45" s="24" t="n"/>
      <c r="E45" s="24" t="n"/>
      <c r="F45" s="24" t="n"/>
      <c r="G45" s="24" t="n"/>
    </row>
    <row r="46" ht="22" customHeight="1">
      <c r="A46" s="16" t="inlineStr">
        <is>
          <t>TOTAL VARIABLE</t>
        </is>
      </c>
      <c r="D46" s="17">
        <f>SUM(D21:D45)</f>
        <v/>
      </c>
      <c r="E46" s="17">
        <f>SUM(E21:E45)</f>
        <v/>
      </c>
      <c r="F46" s="18" t="n"/>
      <c r="G46" s="18" t="n"/>
    </row>
    <row r="47" ht="8" customHeight="1">
      <c r="A47" s="19" t="n"/>
      <c r="B47" s="19" t="n"/>
      <c r="C47" s="19" t="n"/>
      <c r="D47" s="19" t="n"/>
      <c r="E47" s="19" t="n"/>
      <c r="F47" s="19" t="n"/>
      <c r="G47" s="19" t="n"/>
    </row>
    <row r="48" ht="26" customHeight="1">
      <c r="A48" s="26" t="inlineStr">
        <is>
          <t>💰 BALANCE</t>
        </is>
      </c>
      <c r="D48" s="27">
        <f>D5-D17-D46</f>
        <v/>
      </c>
      <c r="E48" s="27">
        <f>E5-E17-E46</f>
        <v/>
      </c>
      <c r="F48" s="28" t="n"/>
      <c r="G48" s="28" t="n"/>
    </row>
  </sheetData>
  <mergeCells count="17">
    <mergeCell ref="B13:C13"/>
    <mergeCell ref="A48:C48"/>
    <mergeCell ref="B16:C16"/>
    <mergeCell ref="A1:G1"/>
    <mergeCell ref="B15:C15"/>
    <mergeCell ref="A5:C5"/>
    <mergeCell ref="B11:C11"/>
    <mergeCell ref="A3:G3"/>
    <mergeCell ref="A46:C46"/>
    <mergeCell ref="B10:C10"/>
    <mergeCell ref="A17:C17"/>
    <mergeCell ref="A2"/>
    <mergeCell ref="B14:C14"/>
    <mergeCell ref="A7:G7"/>
    <mergeCell ref="B9:C9"/>
    <mergeCell ref="A19:G19"/>
    <mergeCell ref="B12:C12"/>
  </mergeCells>
  <dataValidations count="3">
    <dataValidation sqref="F21:F45" showDropDown="0" showInputMessage="0" showErrorMessage="0" allowBlank="1" type="list">
      <formula1>"Food,Transport,Health,Utilities,Entertainment,Tax,Savings,Big Buy,Personal,Other"</formula1>
    </dataValidation>
    <dataValidation sqref="G21:G45" showDropDown="0" showInputMessage="0" showErrorMessage="0" allowBlank="1" type="list">
      <formula1>"Cash ARS,USD Cash,Wise,Binance,MercadoPago,Tarjeta"</formula1>
    </dataValidation>
    <dataValidation sqref="E9:E16" showDropDown="0" showInputMessage="0" showErrorMessage="0" allowBlank="1" type="list">
      <formula1>"Pagado,Pendiente,Auto"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2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 ht="30" customHeight="1">
      <c r="A1" s="1" t="inlineStr">
        <is>
          <t>💸 NOV 2025 — GASTOS MENSUALES</t>
        </is>
      </c>
    </row>
    <row r="2" ht="22" customHeight="1">
      <c r="A2" s="2" t="inlineStr">
        <is>
          <t>USD/ARS</t>
        </is>
      </c>
      <c r="B2" s="3" t="n">
        <v>1450</v>
      </c>
      <c r="C2" s="4" t="inlineStr">
        <is>
          <t>← update monthly</t>
        </is>
      </c>
      <c r="D2" s="5" t="n"/>
      <c r="E2" s="5" t="n"/>
      <c r="F2" s="5" t="n"/>
      <c r="G2" s="5" t="n"/>
    </row>
    <row r="3" ht="24" customHeight="1">
      <c r="A3" s="6" t="inlineStr">
        <is>
          <t>▲ INGRESOS</t>
        </is>
      </c>
    </row>
    <row r="4" ht="20" customHeight="1">
      <c r="A4" s="7" t="inlineStr">
        <is>
          <t>#</t>
        </is>
      </c>
      <c r="B4" s="7" t="inlineStr">
        <is>
          <t>Source</t>
        </is>
      </c>
      <c r="C4" s="7" t="inlineStr">
        <is>
          <t>Description</t>
        </is>
      </c>
      <c r="D4" s="7" t="inlineStr">
        <is>
          <t>ARS</t>
        </is>
      </c>
      <c r="E4" s="7" t="inlineStr">
        <is>
          <t>USD</t>
        </is>
      </c>
    </row>
    <row r="5" ht="22" customHeight="1">
      <c r="A5" s="16" t="inlineStr">
        <is>
          <t>TOTAL INGRESOS</t>
        </is>
      </c>
      <c r="D5" s="17">
        <f>SUM(D5:D4)</f>
        <v/>
      </c>
      <c r="E5" s="17">
        <f>SUM(E5:E4)</f>
        <v/>
      </c>
      <c r="F5" s="18" t="n"/>
      <c r="G5" s="18" t="n"/>
    </row>
    <row r="6" ht="8" customHeight="1">
      <c r="A6" s="19" t="n"/>
      <c r="B6" s="19" t="n"/>
      <c r="C6" s="19" t="n"/>
      <c r="D6" s="19" t="n"/>
      <c r="E6" s="19" t="n"/>
      <c r="F6" s="19" t="n"/>
      <c r="G6" s="19" t="n"/>
    </row>
    <row r="7" ht="24" customHeight="1">
      <c r="A7" s="20" t="inlineStr">
        <is>
          <t>▼ EGRESOS FIJOS</t>
        </is>
      </c>
    </row>
    <row r="8" ht="20" customHeight="1">
      <c r="A8" s="21" t="inlineStr">
        <is>
          <t>#</t>
        </is>
      </c>
      <c r="B8" s="21" t="inlineStr">
        <is>
          <t>Description</t>
        </is>
      </c>
      <c r="C8" s="21" t="inlineStr">
        <is>
          <t>ARS</t>
        </is>
      </c>
      <c r="D8" s="21" t="inlineStr">
        <is>
          <t>USD</t>
        </is>
      </c>
      <c r="E8" s="21" t="inlineStr">
        <is>
          <t>Status</t>
        </is>
      </c>
      <c r="F8" s="21" t="inlineStr"/>
      <c r="G8" s="21" t="inlineStr"/>
    </row>
    <row r="9" ht="18" customHeight="1">
      <c r="A9" s="8" t="n">
        <v>1</v>
      </c>
      <c r="B9" s="9" t="inlineStr">
        <is>
          <t>Comida y mas</t>
        </is>
      </c>
      <c r="D9" s="10" t="n">
        <v>900000</v>
      </c>
      <c r="E9" s="10">
        <f>IF(D9&gt;0,D9/B$2,"")</f>
        <v/>
      </c>
      <c r="F9" s="9" t="inlineStr"/>
      <c r="G9" s="11" t="n"/>
    </row>
    <row r="10" ht="18" customHeight="1">
      <c r="A10" s="12" t="n">
        <v>2</v>
      </c>
      <c r="B10" s="13" t="inlineStr">
        <is>
          <t>Swiss</t>
        </is>
      </c>
      <c r="D10" s="14" t="n">
        <v>165000</v>
      </c>
      <c r="E10" s="14">
        <f>IF(D10&gt;0,D10/B$2,"")</f>
        <v/>
      </c>
      <c r="F10" s="13" t="inlineStr"/>
      <c r="G10" s="15" t="n"/>
    </row>
    <row r="11" ht="18" customHeight="1">
      <c r="A11" s="8" t="n">
        <v>3</v>
      </c>
      <c r="B11" s="9" t="inlineStr">
        <is>
          <t>Olav Depto</t>
        </is>
      </c>
      <c r="D11" s="10" t="n">
        <v>100000</v>
      </c>
      <c r="E11" s="10">
        <f>IF(D11&gt;0,D11/B$2,"")</f>
        <v/>
      </c>
      <c r="F11" s="9" t="inlineStr"/>
      <c r="G11" s="11" t="n"/>
    </row>
    <row r="12" ht="18" customHeight="1">
      <c r="A12" s="12" t="n">
        <v>4</v>
      </c>
      <c r="B12" s="13" t="inlineStr">
        <is>
          <t>Pilates</t>
        </is>
      </c>
      <c r="D12" s="14" t="n">
        <v>43000</v>
      </c>
      <c r="E12" s="14">
        <f>IF(D12&gt;0,D12/B$2,"")</f>
        <v/>
      </c>
      <c r="F12" s="13" t="inlineStr"/>
      <c r="G12" s="15" t="n"/>
    </row>
    <row r="13" ht="18" customHeight="1">
      <c r="A13" s="8" t="n">
        <v>5</v>
      </c>
      <c r="B13" s="9" t="inlineStr">
        <is>
          <t>Gym</t>
        </is>
      </c>
      <c r="D13" s="10" t="n">
        <v>34000</v>
      </c>
      <c r="E13" s="10">
        <f>IF(D13&gt;0,D13/B$2,"")</f>
        <v/>
      </c>
      <c r="F13" s="9" t="inlineStr"/>
      <c r="G13" s="11" t="n"/>
    </row>
    <row r="14" ht="18" customHeight="1">
      <c r="A14" s="12" t="n">
        <v>6</v>
      </c>
      <c r="B14" s="13" t="inlineStr">
        <is>
          <t>Asisa</t>
        </is>
      </c>
      <c r="D14" s="14" t="n">
        <v>50000</v>
      </c>
      <c r="E14" s="14">
        <f>IF(D14&gt;0,D14/B$2,"")</f>
        <v/>
      </c>
      <c r="F14" s="13" t="inlineStr"/>
      <c r="G14" s="15" t="n"/>
    </row>
    <row r="15" ht="18" customHeight="1">
      <c r="A15" s="8" t="n">
        <v>7</v>
      </c>
      <c r="B15" s="9" t="inlineStr">
        <is>
          <t>Santander Esp</t>
        </is>
      </c>
      <c r="D15" s="10" t="n">
        <v>20000</v>
      </c>
      <c r="E15" s="10">
        <f>IF(D15&gt;0,D15/B$2,"")</f>
        <v/>
      </c>
      <c r="F15" s="9" t="inlineStr"/>
      <c r="G15" s="11" t="n"/>
    </row>
    <row r="16" ht="18" customHeight="1">
      <c r="A16" s="12" t="n">
        <v>8</v>
      </c>
      <c r="B16" s="13" t="inlineStr">
        <is>
          <t>Psico</t>
        </is>
      </c>
      <c r="D16" s="14" t="n">
        <v>16000</v>
      </c>
      <c r="E16" s="14">
        <f>IF(D16&gt;0,D16/B$2,"")</f>
        <v/>
      </c>
      <c r="F16" s="13" t="inlineStr"/>
      <c r="G16" s="15" t="n"/>
    </row>
    <row r="17" ht="18" customHeight="1">
      <c r="A17" s="8" t="n">
        <v>9</v>
      </c>
      <c r="B17" s="9" t="inlineStr">
        <is>
          <t>Tenis</t>
        </is>
      </c>
      <c r="D17" s="10" t="n">
        <v>23000</v>
      </c>
      <c r="E17" s="10">
        <f>IF(D17&gt;0,D17/B$2,"")</f>
        <v/>
      </c>
      <c r="F17" s="9" t="inlineStr"/>
      <c r="G17" s="11" t="n"/>
    </row>
    <row r="18" ht="18" customHeight="1">
      <c r="A18" s="12" t="n">
        <v>10</v>
      </c>
      <c r="B18" s="13" t="inlineStr">
        <is>
          <t>Internet</t>
        </is>
      </c>
      <c r="D18" s="14" t="n">
        <v>13748</v>
      </c>
      <c r="E18" s="14">
        <f>IF(D18&gt;0,D18/B$2,"")</f>
        <v/>
      </c>
      <c r="F18" s="13" t="inlineStr"/>
      <c r="G18" s="15" t="n"/>
    </row>
    <row r="19" ht="18" customHeight="1">
      <c r="A19" s="8" t="n">
        <v>11</v>
      </c>
      <c r="B19" s="9" t="inlineStr">
        <is>
          <t>Regalo Guido</t>
        </is>
      </c>
      <c r="D19" s="10" t="n">
        <v>150000</v>
      </c>
      <c r="E19" s="10">
        <f>IF(D19&gt;0,D19/B$2,"")</f>
        <v/>
      </c>
      <c r="F19" s="9" t="inlineStr"/>
      <c r="G19" s="11" t="n"/>
    </row>
    <row r="20" ht="18" customHeight="1">
      <c r="A20" s="12" t="n">
        <v>12</v>
      </c>
      <c r="B20" s="13" t="inlineStr">
        <is>
          <t>Chapa</t>
        </is>
      </c>
      <c r="D20" s="14" t="n">
        <v>250000</v>
      </c>
      <c r="E20" s="14">
        <f>IF(D20&gt;0,D20/B$2,"")</f>
        <v/>
      </c>
      <c r="F20" s="13" t="inlineStr"/>
      <c r="G20" s="15" t="n"/>
    </row>
    <row r="21" ht="18" customHeight="1">
      <c r="A21" s="8" t="n">
        <v>13</v>
      </c>
      <c r="B21" s="9" t="inlineStr">
        <is>
          <t>Sur Pesca</t>
        </is>
      </c>
      <c r="D21" s="10" t="n">
        <v>350000</v>
      </c>
      <c r="E21" s="10">
        <f>IF(D21&gt;0,D21/B$2,"")</f>
        <v/>
      </c>
      <c r="F21" s="9" t="inlineStr"/>
      <c r="G21" s="11" t="n"/>
    </row>
    <row r="22" ht="22" customHeight="1">
      <c r="A22" s="16" t="inlineStr">
        <is>
          <t>TOTAL FIJOS</t>
        </is>
      </c>
      <c r="D22" s="17">
        <f>SUM(D9:D21)</f>
        <v/>
      </c>
      <c r="E22" s="17">
        <f>SUM(E9:E21)</f>
        <v/>
      </c>
      <c r="F22" s="18" t="n"/>
      <c r="G22" s="18" t="n"/>
    </row>
    <row r="23" ht="8" customHeight="1">
      <c r="A23" s="19" t="n"/>
      <c r="B23" s="19" t="n"/>
      <c r="C23" s="19" t="n"/>
      <c r="D23" s="19" t="n"/>
      <c r="E23" s="19" t="n"/>
      <c r="F23" s="19" t="n"/>
      <c r="G23" s="19" t="n"/>
    </row>
    <row r="24" ht="24" customHeight="1">
      <c r="A24" s="22" t="inlineStr">
        <is>
          <t>📋 GASTOS DEL MES</t>
        </is>
      </c>
    </row>
    <row r="25" ht="20" customHeight="1">
      <c r="A25" s="23" t="inlineStr">
        <is>
          <t>#</t>
        </is>
      </c>
      <c r="B25" s="23" t="inlineStr">
        <is>
          <t>Date</t>
        </is>
      </c>
      <c r="C25" s="23" t="inlineStr">
        <is>
          <t>Description</t>
        </is>
      </c>
      <c r="D25" s="23" t="inlineStr">
        <is>
          <t>ARS</t>
        </is>
      </c>
      <c r="E25" s="23" t="inlineStr">
        <is>
          <t>USD</t>
        </is>
      </c>
      <c r="F25" s="23" t="inlineStr">
        <is>
          <t>Category</t>
        </is>
      </c>
      <c r="G25" s="23" t="inlineStr">
        <is>
          <t>Payment</t>
        </is>
      </c>
    </row>
    <row r="26" ht="18" customHeight="1">
      <c r="A26" s="24" t="n"/>
      <c r="B26" s="24" t="n"/>
      <c r="C26" s="24" t="n"/>
      <c r="D26" s="24" t="n"/>
      <c r="E26" s="24" t="n"/>
      <c r="F26" s="24" t="n"/>
      <c r="G26" s="24" t="n"/>
    </row>
    <row r="27" ht="18" customHeight="1">
      <c r="A27" s="25" t="n"/>
      <c r="B27" s="25" t="n"/>
      <c r="C27" s="25" t="n"/>
      <c r="D27" s="25" t="n"/>
      <c r="E27" s="25" t="n"/>
      <c r="F27" s="25" t="n"/>
      <c r="G27" s="25" t="n"/>
    </row>
    <row r="28" ht="18" customHeight="1">
      <c r="A28" s="24" t="n"/>
      <c r="B28" s="24" t="n"/>
      <c r="C28" s="24" t="n"/>
      <c r="D28" s="24" t="n"/>
      <c r="E28" s="24" t="n"/>
      <c r="F28" s="24" t="n"/>
      <c r="G28" s="24" t="n"/>
    </row>
    <row r="29" ht="18" customHeight="1">
      <c r="A29" s="25" t="n"/>
      <c r="B29" s="25" t="n"/>
      <c r="C29" s="25" t="n"/>
      <c r="D29" s="25" t="n"/>
      <c r="E29" s="25" t="n"/>
      <c r="F29" s="25" t="n"/>
      <c r="G29" s="25" t="n"/>
    </row>
    <row r="30" ht="18" customHeight="1">
      <c r="A30" s="24" t="n"/>
      <c r="B30" s="24" t="n"/>
      <c r="C30" s="24" t="n"/>
      <c r="D30" s="24" t="n"/>
      <c r="E30" s="24" t="n"/>
      <c r="F30" s="24" t="n"/>
      <c r="G30" s="24" t="n"/>
    </row>
    <row r="31" ht="18" customHeight="1">
      <c r="A31" s="25" t="n"/>
      <c r="B31" s="25" t="n"/>
      <c r="C31" s="25" t="n"/>
      <c r="D31" s="25" t="n"/>
      <c r="E31" s="25" t="n"/>
      <c r="F31" s="25" t="n"/>
      <c r="G31" s="25" t="n"/>
    </row>
    <row r="32" ht="18" customHeight="1">
      <c r="A32" s="24" t="n"/>
      <c r="B32" s="24" t="n"/>
      <c r="C32" s="24" t="n"/>
      <c r="D32" s="24" t="n"/>
      <c r="E32" s="24" t="n"/>
      <c r="F32" s="24" t="n"/>
      <c r="G32" s="24" t="n"/>
    </row>
    <row r="33" ht="18" customHeight="1">
      <c r="A33" s="25" t="n"/>
      <c r="B33" s="25" t="n"/>
      <c r="C33" s="25" t="n"/>
      <c r="D33" s="25" t="n"/>
      <c r="E33" s="25" t="n"/>
      <c r="F33" s="25" t="n"/>
      <c r="G33" s="25" t="n"/>
    </row>
    <row r="34" ht="18" customHeight="1">
      <c r="A34" s="24" t="n"/>
      <c r="B34" s="24" t="n"/>
      <c r="C34" s="24" t="n"/>
      <c r="D34" s="24" t="n"/>
      <c r="E34" s="24" t="n"/>
      <c r="F34" s="24" t="n"/>
      <c r="G34" s="24" t="n"/>
    </row>
    <row r="35" ht="18" customHeight="1">
      <c r="A35" s="25" t="n"/>
      <c r="B35" s="25" t="n"/>
      <c r="C35" s="25" t="n"/>
      <c r="D35" s="25" t="n"/>
      <c r="E35" s="25" t="n"/>
      <c r="F35" s="25" t="n"/>
      <c r="G35" s="25" t="n"/>
    </row>
    <row r="36" ht="18" customHeight="1">
      <c r="A36" s="24" t="n"/>
      <c r="B36" s="24" t="n"/>
      <c r="C36" s="24" t="n"/>
      <c r="D36" s="24" t="n"/>
      <c r="E36" s="24" t="n"/>
      <c r="F36" s="24" t="n"/>
      <c r="G36" s="24" t="n"/>
    </row>
    <row r="37" ht="18" customHeight="1">
      <c r="A37" s="25" t="n"/>
      <c r="B37" s="25" t="n"/>
      <c r="C37" s="25" t="n"/>
      <c r="D37" s="25" t="n"/>
      <c r="E37" s="25" t="n"/>
      <c r="F37" s="25" t="n"/>
      <c r="G37" s="25" t="n"/>
    </row>
    <row r="38" ht="18" customHeight="1">
      <c r="A38" s="24" t="n"/>
      <c r="B38" s="24" t="n"/>
      <c r="C38" s="24" t="n"/>
      <c r="D38" s="24" t="n"/>
      <c r="E38" s="24" t="n"/>
      <c r="F38" s="24" t="n"/>
      <c r="G38" s="24" t="n"/>
    </row>
    <row r="39" ht="18" customHeight="1">
      <c r="A39" s="25" t="n"/>
      <c r="B39" s="25" t="n"/>
      <c r="C39" s="25" t="n"/>
      <c r="D39" s="25" t="n"/>
      <c r="E39" s="25" t="n"/>
      <c r="F39" s="25" t="n"/>
      <c r="G39" s="25" t="n"/>
    </row>
    <row r="40" ht="18" customHeight="1">
      <c r="A40" s="24" t="n"/>
      <c r="B40" s="24" t="n"/>
      <c r="C40" s="24" t="n"/>
      <c r="D40" s="24" t="n"/>
      <c r="E40" s="24" t="n"/>
      <c r="F40" s="24" t="n"/>
      <c r="G40" s="24" t="n"/>
    </row>
    <row r="41" ht="18" customHeight="1">
      <c r="A41" s="25" t="n"/>
      <c r="B41" s="25" t="n"/>
      <c r="C41" s="25" t="n"/>
      <c r="D41" s="25" t="n"/>
      <c r="E41" s="25" t="n"/>
      <c r="F41" s="25" t="n"/>
      <c r="G41" s="25" t="n"/>
    </row>
    <row r="42" ht="18" customHeight="1">
      <c r="A42" s="24" t="n"/>
      <c r="B42" s="24" t="n"/>
      <c r="C42" s="24" t="n"/>
      <c r="D42" s="24" t="n"/>
      <c r="E42" s="24" t="n"/>
      <c r="F42" s="24" t="n"/>
      <c r="G42" s="24" t="n"/>
    </row>
    <row r="43" ht="18" customHeight="1">
      <c r="A43" s="25" t="n"/>
      <c r="B43" s="25" t="n"/>
      <c r="C43" s="25" t="n"/>
      <c r="D43" s="25" t="n"/>
      <c r="E43" s="25" t="n"/>
      <c r="F43" s="25" t="n"/>
      <c r="G43" s="25" t="n"/>
    </row>
    <row r="44" ht="18" customHeight="1">
      <c r="A44" s="24" t="n"/>
      <c r="B44" s="24" t="n"/>
      <c r="C44" s="24" t="n"/>
      <c r="D44" s="24" t="n"/>
      <c r="E44" s="24" t="n"/>
      <c r="F44" s="24" t="n"/>
      <c r="G44" s="24" t="n"/>
    </row>
    <row r="45" ht="18" customHeight="1">
      <c r="A45" s="25" t="n"/>
      <c r="B45" s="25" t="n"/>
      <c r="C45" s="25" t="n"/>
      <c r="D45" s="25" t="n"/>
      <c r="E45" s="25" t="n"/>
      <c r="F45" s="25" t="n"/>
      <c r="G45" s="25" t="n"/>
    </row>
    <row r="46" ht="18" customHeight="1">
      <c r="A46" s="24" t="n"/>
      <c r="B46" s="24" t="n"/>
      <c r="C46" s="24" t="n"/>
      <c r="D46" s="24" t="n"/>
      <c r="E46" s="24" t="n"/>
      <c r="F46" s="24" t="n"/>
      <c r="G46" s="24" t="n"/>
    </row>
    <row r="47" ht="18" customHeight="1">
      <c r="A47" s="25" t="n"/>
      <c r="B47" s="25" t="n"/>
      <c r="C47" s="25" t="n"/>
      <c r="D47" s="25" t="n"/>
      <c r="E47" s="25" t="n"/>
      <c r="F47" s="25" t="n"/>
      <c r="G47" s="25" t="n"/>
    </row>
    <row r="48" ht="18" customHeight="1">
      <c r="A48" s="24" t="n"/>
      <c r="B48" s="24" t="n"/>
      <c r="C48" s="24" t="n"/>
      <c r="D48" s="24" t="n"/>
      <c r="E48" s="24" t="n"/>
      <c r="F48" s="24" t="n"/>
      <c r="G48" s="24" t="n"/>
    </row>
    <row r="49" ht="18" customHeight="1">
      <c r="A49" s="25" t="n"/>
      <c r="B49" s="25" t="n"/>
      <c r="C49" s="25" t="n"/>
      <c r="D49" s="25" t="n"/>
      <c r="E49" s="25" t="n"/>
      <c r="F49" s="25" t="n"/>
      <c r="G49" s="25" t="n"/>
    </row>
    <row r="50" ht="18" customHeight="1">
      <c r="A50" s="24" t="n"/>
      <c r="B50" s="24" t="n"/>
      <c r="C50" s="24" t="n"/>
      <c r="D50" s="24" t="n"/>
      <c r="E50" s="24" t="n"/>
      <c r="F50" s="24" t="n"/>
      <c r="G50" s="24" t="n"/>
    </row>
    <row r="51" ht="22" customHeight="1">
      <c r="A51" s="16" t="inlineStr">
        <is>
          <t>TOTAL VARIABLE</t>
        </is>
      </c>
      <c r="D51" s="17">
        <f>SUM(D26:D50)</f>
        <v/>
      </c>
      <c r="E51" s="17">
        <f>SUM(E26:E50)</f>
        <v/>
      </c>
      <c r="F51" s="18" t="n"/>
      <c r="G51" s="18" t="n"/>
    </row>
    <row r="52" ht="8" customHeight="1">
      <c r="A52" s="19" t="n"/>
      <c r="B52" s="19" t="n"/>
      <c r="C52" s="19" t="n"/>
      <c r="D52" s="19" t="n"/>
      <c r="E52" s="19" t="n"/>
      <c r="F52" s="19" t="n"/>
      <c r="G52" s="19" t="n"/>
    </row>
    <row r="53" ht="26" customHeight="1">
      <c r="A53" s="26" t="inlineStr">
        <is>
          <t>💰 BALANCE</t>
        </is>
      </c>
      <c r="D53" s="27">
        <f>D5-D22-D51</f>
        <v/>
      </c>
      <c r="E53" s="27">
        <f>E5-E22-E51</f>
        <v/>
      </c>
      <c r="F53" s="28" t="n"/>
      <c r="G53" s="28" t="n"/>
    </row>
  </sheetData>
  <mergeCells count="22">
    <mergeCell ref="B16:C16"/>
    <mergeCell ref="B18:C18"/>
    <mergeCell ref="B12:C12"/>
    <mergeCell ref="B21:C21"/>
    <mergeCell ref="A5:C5"/>
    <mergeCell ref="B11:C11"/>
    <mergeCell ref="A22:C22"/>
    <mergeCell ref="A24:G24"/>
    <mergeCell ref="B14:C14"/>
    <mergeCell ref="A53:C53"/>
    <mergeCell ref="B17:C17"/>
    <mergeCell ref="B13:C13"/>
    <mergeCell ref="A1:G1"/>
    <mergeCell ref="B19:C19"/>
    <mergeCell ref="B10:C10"/>
    <mergeCell ref="A7:G7"/>
    <mergeCell ref="B9:C9"/>
    <mergeCell ref="A51:C51"/>
    <mergeCell ref="B15:C15"/>
    <mergeCell ref="A3:G3"/>
    <mergeCell ref="B20:C20"/>
    <mergeCell ref="A2"/>
  </mergeCells>
  <dataValidations count="3">
    <dataValidation sqref="F26:F50" showDropDown="0" showInputMessage="0" showErrorMessage="0" allowBlank="1" type="list">
      <formula1>"Food,Transport,Health,Utilities,Entertainment,Tax,Savings,Big Buy,Personal,Other"</formula1>
    </dataValidation>
    <dataValidation sqref="G26:G50" showDropDown="0" showInputMessage="0" showErrorMessage="0" allowBlank="1" type="list">
      <formula1>"Cash ARS,USD Cash,Wise,Binance,MercadoPago,Tarjeta"</formula1>
    </dataValidation>
    <dataValidation sqref="E9:E21" showDropDown="0" showInputMessage="0" showErrorMessage="0" allowBlank="1" type="list">
      <formula1>"Pagado,Pendiente,Auto"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2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 ht="30" customHeight="1">
      <c r="A1" s="1" t="inlineStr">
        <is>
          <t>💸 DEC 2025 — GASTOS MENSUALES</t>
        </is>
      </c>
    </row>
    <row r="2" ht="22" customHeight="1">
      <c r="A2" s="2" t="inlineStr">
        <is>
          <t>USD/ARS</t>
        </is>
      </c>
      <c r="B2" s="3" t="n">
        <v>1500</v>
      </c>
      <c r="C2" s="4" t="inlineStr">
        <is>
          <t>← update monthly</t>
        </is>
      </c>
      <c r="D2" s="5" t="n"/>
      <c r="E2" s="5" t="n"/>
      <c r="F2" s="5" t="n"/>
      <c r="G2" s="5" t="n"/>
    </row>
    <row r="3" ht="24" customHeight="1">
      <c r="A3" s="6" t="inlineStr">
        <is>
          <t>▲ INGRESOS</t>
        </is>
      </c>
    </row>
    <row r="4" ht="20" customHeight="1">
      <c r="A4" s="7" t="inlineStr">
        <is>
          <t>#</t>
        </is>
      </c>
      <c r="B4" s="7" t="inlineStr">
        <is>
          <t>Source</t>
        </is>
      </c>
      <c r="C4" s="7" t="inlineStr">
        <is>
          <t>Description</t>
        </is>
      </c>
      <c r="D4" s="7" t="inlineStr">
        <is>
          <t>ARS</t>
        </is>
      </c>
      <c r="E4" s="7" t="inlineStr">
        <is>
          <t>USD</t>
        </is>
      </c>
    </row>
    <row r="5" ht="18" customHeight="1">
      <c r="A5" s="8" t="n">
        <v>1</v>
      </c>
      <c r="B5" s="9" t="inlineStr"/>
      <c r="C5" s="9" t="inlineStr">
        <is>
          <t>Basecoat</t>
        </is>
      </c>
      <c r="D5" s="10" t="n"/>
      <c r="E5" s="10" t="n">
        <v>2750</v>
      </c>
      <c r="F5" s="11" t="n"/>
      <c r="G5" s="11" t="n"/>
    </row>
    <row r="6" ht="22" customHeight="1">
      <c r="A6" s="16" t="inlineStr">
        <is>
          <t>TOTAL INGRESOS</t>
        </is>
      </c>
      <c r="D6" s="17">
        <f>SUM(D5:D5)</f>
        <v/>
      </c>
      <c r="E6" s="17">
        <f>SUM(E5:E5)</f>
        <v/>
      </c>
      <c r="F6" s="18" t="n"/>
      <c r="G6" s="18" t="n"/>
    </row>
    <row r="7" ht="8" customHeight="1">
      <c r="A7" s="19" t="n"/>
      <c r="B7" s="19" t="n"/>
      <c r="C7" s="19" t="n"/>
      <c r="D7" s="19" t="n"/>
      <c r="E7" s="19" t="n"/>
      <c r="F7" s="19" t="n"/>
      <c r="G7" s="19" t="n"/>
    </row>
    <row r="8" ht="24" customHeight="1">
      <c r="A8" s="20" t="inlineStr">
        <is>
          <t>▼ EGRESOS FIJOS</t>
        </is>
      </c>
    </row>
    <row r="9" ht="20" customHeight="1">
      <c r="A9" s="21" t="inlineStr">
        <is>
          <t>#</t>
        </is>
      </c>
      <c r="B9" s="21" t="inlineStr">
        <is>
          <t>Description</t>
        </is>
      </c>
      <c r="C9" s="21" t="inlineStr">
        <is>
          <t>ARS</t>
        </is>
      </c>
      <c r="D9" s="21" t="inlineStr">
        <is>
          <t>USD</t>
        </is>
      </c>
      <c r="E9" s="21" t="inlineStr">
        <is>
          <t>Status</t>
        </is>
      </c>
      <c r="F9" s="21" t="inlineStr"/>
      <c r="G9" s="21" t="inlineStr"/>
    </row>
    <row r="10" ht="18" customHeight="1">
      <c r="A10" s="8" t="n">
        <v>1</v>
      </c>
      <c r="B10" s="9" t="inlineStr">
        <is>
          <t>Comida y mas</t>
        </is>
      </c>
      <c r="D10" s="10" t="n">
        <v>900000</v>
      </c>
      <c r="E10" s="10">
        <f>IF(D10&gt;0,D10/B$2,"")</f>
        <v/>
      </c>
      <c r="F10" s="9" t="inlineStr"/>
      <c r="G10" s="11" t="n"/>
    </row>
    <row r="11" ht="18" customHeight="1">
      <c r="A11" s="12" t="n">
        <v>2</v>
      </c>
      <c r="B11" s="13" t="inlineStr">
        <is>
          <t>Swiss Dic</t>
        </is>
      </c>
      <c r="D11" s="14" t="n">
        <v>172000</v>
      </c>
      <c r="E11" s="14">
        <f>IF(D11&gt;0,D11/B$2,"")</f>
        <v/>
      </c>
      <c r="F11" s="13" t="inlineStr"/>
      <c r="G11" s="15" t="n"/>
    </row>
    <row r="12" ht="18" customHeight="1">
      <c r="A12" s="8" t="n">
        <v>3</v>
      </c>
      <c r="B12" s="9" t="inlineStr">
        <is>
          <t>Olav Depto</t>
        </is>
      </c>
      <c r="D12" s="10" t="n">
        <v>150000</v>
      </c>
      <c r="E12" s="10">
        <f>IF(D12&gt;0,D12/B$2,"")</f>
        <v/>
      </c>
      <c r="F12" s="9" t="inlineStr"/>
      <c r="G12" s="11" t="n"/>
    </row>
    <row r="13" ht="18" customHeight="1">
      <c r="A13" s="12" t="n">
        <v>4</v>
      </c>
      <c r="B13" s="13" t="inlineStr">
        <is>
          <t>Gym</t>
        </is>
      </c>
      <c r="D13" s="14" t="n">
        <v>34000</v>
      </c>
      <c r="E13" s="14">
        <f>IF(D13&gt;0,D13/B$2,"")</f>
        <v/>
      </c>
      <c r="F13" s="13" t="inlineStr"/>
      <c r="G13" s="15" t="n"/>
    </row>
    <row r="14" ht="18" customHeight="1">
      <c r="A14" s="8" t="n">
        <v>5</v>
      </c>
      <c r="B14" s="9" t="inlineStr">
        <is>
          <t>Psico Anab</t>
        </is>
      </c>
      <c r="D14" s="10" t="n">
        <v>30000</v>
      </c>
      <c r="E14" s="10">
        <f>IF(D14&gt;0,D14/B$2,"")</f>
        <v/>
      </c>
      <c r="F14" s="9" t="inlineStr"/>
      <c r="G14" s="11" t="n"/>
    </row>
    <row r="15" ht="18" customHeight="1">
      <c r="A15" s="12" t="n">
        <v>6</v>
      </c>
      <c r="B15" s="13" t="inlineStr">
        <is>
          <t>Santander Esp</t>
        </is>
      </c>
      <c r="D15" s="14" t="n">
        <v>20000</v>
      </c>
      <c r="E15" s="14">
        <f>IF(D15&gt;0,D15/B$2,"")</f>
        <v/>
      </c>
      <c r="F15" s="13" t="inlineStr"/>
      <c r="G15" s="15" t="n"/>
    </row>
    <row r="16" ht="18" customHeight="1">
      <c r="A16" s="8" t="n">
        <v>7</v>
      </c>
      <c r="B16" s="9" t="inlineStr">
        <is>
          <t>Tenis</t>
        </is>
      </c>
      <c r="D16" s="10" t="n">
        <v>23000</v>
      </c>
      <c r="E16" s="10">
        <f>IF(D16&gt;0,D16/B$2,"")</f>
        <v/>
      </c>
      <c r="F16" s="9" t="inlineStr"/>
      <c r="G16" s="11" t="n"/>
    </row>
    <row r="17" ht="18" customHeight="1">
      <c r="A17" s="12" t="n">
        <v>8</v>
      </c>
      <c r="B17" s="13" t="inlineStr">
        <is>
          <t>Internet</t>
        </is>
      </c>
      <c r="D17" s="14" t="n">
        <v>13748</v>
      </c>
      <c r="E17" s="14">
        <f>IF(D17&gt;0,D17/B$2,"")</f>
        <v/>
      </c>
      <c r="F17" s="13" t="inlineStr"/>
      <c r="G17" s="15" t="n"/>
    </row>
    <row r="18" ht="22" customHeight="1">
      <c r="A18" s="16" t="inlineStr">
        <is>
          <t>TOTAL FIJOS</t>
        </is>
      </c>
      <c r="D18" s="17">
        <f>SUM(D10:D17)</f>
        <v/>
      </c>
      <c r="E18" s="17">
        <f>SUM(E10:E17)</f>
        <v/>
      </c>
      <c r="F18" s="18" t="n"/>
      <c r="G18" s="18" t="n"/>
    </row>
    <row r="19" ht="8" customHeight="1">
      <c r="A19" s="19" t="n"/>
      <c r="B19" s="19" t="n"/>
      <c r="C19" s="19" t="n"/>
      <c r="D19" s="19" t="n"/>
      <c r="E19" s="19" t="n"/>
      <c r="F19" s="19" t="n"/>
      <c r="G19" s="19" t="n"/>
    </row>
    <row r="20" ht="24" customHeight="1">
      <c r="A20" s="22" t="inlineStr">
        <is>
          <t>📋 GASTOS DEL MES</t>
        </is>
      </c>
    </row>
    <row r="21" ht="20" customHeight="1">
      <c r="A21" s="23" t="inlineStr">
        <is>
          <t>#</t>
        </is>
      </c>
      <c r="B21" s="23" t="inlineStr">
        <is>
          <t>Date</t>
        </is>
      </c>
      <c r="C21" s="23" t="inlineStr">
        <is>
          <t>Description</t>
        </is>
      </c>
      <c r="D21" s="23" t="inlineStr">
        <is>
          <t>ARS</t>
        </is>
      </c>
      <c r="E21" s="23" t="inlineStr">
        <is>
          <t>USD</t>
        </is>
      </c>
      <c r="F21" s="23" t="inlineStr">
        <is>
          <t>Category</t>
        </is>
      </c>
      <c r="G21" s="23" t="inlineStr">
        <is>
          <t>Payment</t>
        </is>
      </c>
    </row>
    <row r="22" ht="18" customHeight="1">
      <c r="A22" s="24" t="n"/>
      <c r="B22" s="24" t="n"/>
      <c r="C22" s="24" t="n"/>
      <c r="D22" s="24" t="n"/>
      <c r="E22" s="24" t="n"/>
      <c r="F22" s="24" t="n"/>
      <c r="G22" s="24" t="n"/>
    </row>
    <row r="23" ht="18" customHeight="1">
      <c r="A23" s="25" t="n"/>
      <c r="B23" s="25" t="n"/>
      <c r="C23" s="25" t="n"/>
      <c r="D23" s="25" t="n"/>
      <c r="E23" s="25" t="n"/>
      <c r="F23" s="25" t="n"/>
      <c r="G23" s="25" t="n"/>
    </row>
    <row r="24" ht="18" customHeight="1">
      <c r="A24" s="24" t="n"/>
      <c r="B24" s="24" t="n"/>
      <c r="C24" s="24" t="n"/>
      <c r="D24" s="24" t="n"/>
      <c r="E24" s="24" t="n"/>
      <c r="F24" s="24" t="n"/>
      <c r="G24" s="24" t="n"/>
    </row>
    <row r="25" ht="18" customHeight="1">
      <c r="A25" s="25" t="n"/>
      <c r="B25" s="25" t="n"/>
      <c r="C25" s="25" t="n"/>
      <c r="D25" s="25" t="n"/>
      <c r="E25" s="25" t="n"/>
      <c r="F25" s="25" t="n"/>
      <c r="G25" s="25" t="n"/>
    </row>
    <row r="26" ht="18" customHeight="1">
      <c r="A26" s="24" t="n"/>
      <c r="B26" s="24" t="n"/>
      <c r="C26" s="24" t="n"/>
      <c r="D26" s="24" t="n"/>
      <c r="E26" s="24" t="n"/>
      <c r="F26" s="24" t="n"/>
      <c r="G26" s="24" t="n"/>
    </row>
    <row r="27" ht="18" customHeight="1">
      <c r="A27" s="25" t="n"/>
      <c r="B27" s="25" t="n"/>
      <c r="C27" s="25" t="n"/>
      <c r="D27" s="25" t="n"/>
      <c r="E27" s="25" t="n"/>
      <c r="F27" s="25" t="n"/>
      <c r="G27" s="25" t="n"/>
    </row>
    <row r="28" ht="18" customHeight="1">
      <c r="A28" s="24" t="n"/>
      <c r="B28" s="24" t="n"/>
      <c r="C28" s="24" t="n"/>
      <c r="D28" s="24" t="n"/>
      <c r="E28" s="24" t="n"/>
      <c r="F28" s="24" t="n"/>
      <c r="G28" s="24" t="n"/>
    </row>
    <row r="29" ht="18" customHeight="1">
      <c r="A29" s="25" t="n"/>
      <c r="B29" s="25" t="n"/>
      <c r="C29" s="25" t="n"/>
      <c r="D29" s="25" t="n"/>
      <c r="E29" s="25" t="n"/>
      <c r="F29" s="25" t="n"/>
      <c r="G29" s="25" t="n"/>
    </row>
    <row r="30" ht="18" customHeight="1">
      <c r="A30" s="24" t="n"/>
      <c r="B30" s="24" t="n"/>
      <c r="C30" s="24" t="n"/>
      <c r="D30" s="24" t="n"/>
      <c r="E30" s="24" t="n"/>
      <c r="F30" s="24" t="n"/>
      <c r="G30" s="24" t="n"/>
    </row>
    <row r="31" ht="18" customHeight="1">
      <c r="A31" s="25" t="n"/>
      <c r="B31" s="25" t="n"/>
      <c r="C31" s="25" t="n"/>
      <c r="D31" s="25" t="n"/>
      <c r="E31" s="25" t="n"/>
      <c r="F31" s="25" t="n"/>
      <c r="G31" s="25" t="n"/>
    </row>
    <row r="32" ht="18" customHeight="1">
      <c r="A32" s="24" t="n"/>
      <c r="B32" s="24" t="n"/>
      <c r="C32" s="24" t="n"/>
      <c r="D32" s="24" t="n"/>
      <c r="E32" s="24" t="n"/>
      <c r="F32" s="24" t="n"/>
      <c r="G32" s="24" t="n"/>
    </row>
    <row r="33" ht="18" customHeight="1">
      <c r="A33" s="25" t="n"/>
      <c r="B33" s="25" t="n"/>
      <c r="C33" s="25" t="n"/>
      <c r="D33" s="25" t="n"/>
      <c r="E33" s="25" t="n"/>
      <c r="F33" s="25" t="n"/>
      <c r="G33" s="25" t="n"/>
    </row>
    <row r="34" ht="18" customHeight="1">
      <c r="A34" s="24" t="n"/>
      <c r="B34" s="24" t="n"/>
      <c r="C34" s="24" t="n"/>
      <c r="D34" s="24" t="n"/>
      <c r="E34" s="24" t="n"/>
      <c r="F34" s="24" t="n"/>
      <c r="G34" s="24" t="n"/>
    </row>
    <row r="35" ht="18" customHeight="1">
      <c r="A35" s="25" t="n"/>
      <c r="B35" s="25" t="n"/>
      <c r="C35" s="25" t="n"/>
      <c r="D35" s="25" t="n"/>
      <c r="E35" s="25" t="n"/>
      <c r="F35" s="25" t="n"/>
      <c r="G35" s="25" t="n"/>
    </row>
    <row r="36" ht="18" customHeight="1">
      <c r="A36" s="24" t="n"/>
      <c r="B36" s="24" t="n"/>
      <c r="C36" s="24" t="n"/>
      <c r="D36" s="24" t="n"/>
      <c r="E36" s="24" t="n"/>
      <c r="F36" s="24" t="n"/>
      <c r="G36" s="24" t="n"/>
    </row>
    <row r="37" ht="18" customHeight="1">
      <c r="A37" s="25" t="n"/>
      <c r="B37" s="25" t="n"/>
      <c r="C37" s="25" t="n"/>
      <c r="D37" s="25" t="n"/>
      <c r="E37" s="25" t="n"/>
      <c r="F37" s="25" t="n"/>
      <c r="G37" s="25" t="n"/>
    </row>
    <row r="38" ht="18" customHeight="1">
      <c r="A38" s="24" t="n"/>
      <c r="B38" s="24" t="n"/>
      <c r="C38" s="24" t="n"/>
      <c r="D38" s="24" t="n"/>
      <c r="E38" s="24" t="n"/>
      <c r="F38" s="24" t="n"/>
      <c r="G38" s="24" t="n"/>
    </row>
    <row r="39" ht="18" customHeight="1">
      <c r="A39" s="25" t="n"/>
      <c r="B39" s="25" t="n"/>
      <c r="C39" s="25" t="n"/>
      <c r="D39" s="25" t="n"/>
      <c r="E39" s="25" t="n"/>
      <c r="F39" s="25" t="n"/>
      <c r="G39" s="25" t="n"/>
    </row>
    <row r="40" ht="18" customHeight="1">
      <c r="A40" s="24" t="n"/>
      <c r="B40" s="24" t="n"/>
      <c r="C40" s="24" t="n"/>
      <c r="D40" s="24" t="n"/>
      <c r="E40" s="24" t="n"/>
      <c r="F40" s="24" t="n"/>
      <c r="G40" s="24" t="n"/>
    </row>
    <row r="41" ht="18" customHeight="1">
      <c r="A41" s="25" t="n"/>
      <c r="B41" s="25" t="n"/>
      <c r="C41" s="25" t="n"/>
      <c r="D41" s="25" t="n"/>
      <c r="E41" s="25" t="n"/>
      <c r="F41" s="25" t="n"/>
      <c r="G41" s="25" t="n"/>
    </row>
    <row r="42" ht="18" customHeight="1">
      <c r="A42" s="24" t="n"/>
      <c r="B42" s="24" t="n"/>
      <c r="C42" s="24" t="n"/>
      <c r="D42" s="24" t="n"/>
      <c r="E42" s="24" t="n"/>
      <c r="F42" s="24" t="n"/>
      <c r="G42" s="24" t="n"/>
    </row>
    <row r="43" ht="18" customHeight="1">
      <c r="A43" s="25" t="n"/>
      <c r="B43" s="25" t="n"/>
      <c r="C43" s="25" t="n"/>
      <c r="D43" s="25" t="n"/>
      <c r="E43" s="25" t="n"/>
      <c r="F43" s="25" t="n"/>
      <c r="G43" s="25" t="n"/>
    </row>
    <row r="44" ht="18" customHeight="1">
      <c r="A44" s="24" t="n"/>
      <c r="B44" s="24" t="n"/>
      <c r="C44" s="24" t="n"/>
      <c r="D44" s="24" t="n"/>
      <c r="E44" s="24" t="n"/>
      <c r="F44" s="24" t="n"/>
      <c r="G44" s="24" t="n"/>
    </row>
    <row r="45" ht="18" customHeight="1">
      <c r="A45" s="25" t="n"/>
      <c r="B45" s="25" t="n"/>
      <c r="C45" s="25" t="n"/>
      <c r="D45" s="25" t="n"/>
      <c r="E45" s="25" t="n"/>
      <c r="F45" s="25" t="n"/>
      <c r="G45" s="25" t="n"/>
    </row>
    <row r="46" ht="18" customHeight="1">
      <c r="A46" s="24" t="n"/>
      <c r="B46" s="24" t="n"/>
      <c r="C46" s="24" t="n"/>
      <c r="D46" s="24" t="n"/>
      <c r="E46" s="24" t="n"/>
      <c r="F46" s="24" t="n"/>
      <c r="G46" s="24" t="n"/>
    </row>
    <row r="47" ht="22" customHeight="1">
      <c r="A47" s="16" t="inlineStr">
        <is>
          <t>TOTAL VARIABLE</t>
        </is>
      </c>
      <c r="D47" s="17">
        <f>SUM(D22:D46)</f>
        <v/>
      </c>
      <c r="E47" s="17">
        <f>SUM(E22:E46)</f>
        <v/>
      </c>
      <c r="F47" s="18" t="n"/>
      <c r="G47" s="18" t="n"/>
    </row>
    <row r="48" ht="8" customHeight="1">
      <c r="A48" s="19" t="n"/>
      <c r="B48" s="19" t="n"/>
      <c r="C48" s="19" t="n"/>
      <c r="D48" s="19" t="n"/>
      <c r="E48" s="19" t="n"/>
      <c r="F48" s="19" t="n"/>
      <c r="G48" s="19" t="n"/>
    </row>
    <row r="49" ht="26" customHeight="1">
      <c r="A49" s="26" t="inlineStr">
        <is>
          <t>💰 BALANCE</t>
        </is>
      </c>
      <c r="D49" s="27">
        <f>D6-D18-D47</f>
        <v/>
      </c>
      <c r="E49" s="27">
        <f>E6-E18-E47</f>
        <v/>
      </c>
      <c r="F49" s="28" t="n"/>
      <c r="G49" s="28" t="n"/>
    </row>
  </sheetData>
  <mergeCells count="17">
    <mergeCell ref="B13:C13"/>
    <mergeCell ref="B16:C16"/>
    <mergeCell ref="A1:G1"/>
    <mergeCell ref="B15:C15"/>
    <mergeCell ref="A47:C47"/>
    <mergeCell ref="B11:C11"/>
    <mergeCell ref="A8:G8"/>
    <mergeCell ref="A3:G3"/>
    <mergeCell ref="A49:C49"/>
    <mergeCell ref="A6:C6"/>
    <mergeCell ref="B10:C10"/>
    <mergeCell ref="A18:C18"/>
    <mergeCell ref="A2"/>
    <mergeCell ref="B14:C14"/>
    <mergeCell ref="A20:G20"/>
    <mergeCell ref="B17:C17"/>
    <mergeCell ref="B12:C12"/>
  </mergeCells>
  <dataValidations count="3">
    <dataValidation sqref="F22:F46" showDropDown="0" showInputMessage="0" showErrorMessage="0" allowBlank="1" type="list">
      <formula1>"Food,Transport,Health,Utilities,Entertainment,Tax,Savings,Big Buy,Personal,Other"</formula1>
    </dataValidation>
    <dataValidation sqref="G22:G46" showDropDown="0" showInputMessage="0" showErrorMessage="0" allowBlank="1" type="list">
      <formula1>"Cash ARS,USD Cash,Wise,Binance,MercadoPago,Tarjeta"</formula1>
    </dataValidation>
    <dataValidation sqref="E10:E17" showDropDown="0" showInputMessage="0" showErrorMessage="0" allowBlank="1" type="list">
      <formula1>"Pagado,Pendiente,Auto"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2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 ht="30" customHeight="1">
      <c r="A1" s="1" t="inlineStr">
        <is>
          <t>💸 JAN 2026 — GASTOS MENSUALES</t>
        </is>
      </c>
    </row>
    <row r="2" ht="22" customHeight="1">
      <c r="A2" s="2" t="inlineStr">
        <is>
          <t>USD/ARS</t>
        </is>
      </c>
      <c r="B2" s="3" t="n">
        <v>1500</v>
      </c>
      <c r="C2" s="4" t="inlineStr">
        <is>
          <t>← update monthly</t>
        </is>
      </c>
      <c r="D2" s="5" t="n"/>
      <c r="E2" s="5" t="n"/>
      <c r="F2" s="5" t="n"/>
      <c r="G2" s="5" t="n"/>
    </row>
    <row r="3" ht="24" customHeight="1">
      <c r="A3" s="6" t="inlineStr">
        <is>
          <t>▲ INGRESOS</t>
        </is>
      </c>
    </row>
    <row r="4" ht="20" customHeight="1">
      <c r="A4" s="7" t="inlineStr">
        <is>
          <t>#</t>
        </is>
      </c>
      <c r="B4" s="7" t="inlineStr">
        <is>
          <t>Source</t>
        </is>
      </c>
      <c r="C4" s="7" t="inlineStr">
        <is>
          <t>Description</t>
        </is>
      </c>
      <c r="D4" s="7" t="inlineStr">
        <is>
          <t>ARS</t>
        </is>
      </c>
      <c r="E4" s="7" t="inlineStr">
        <is>
          <t>USD</t>
        </is>
      </c>
    </row>
    <row r="5" ht="18" customHeight="1">
      <c r="A5" s="8" t="n">
        <v>1</v>
      </c>
      <c r="B5" s="9" t="inlineStr"/>
      <c r="C5" s="9" t="inlineStr">
        <is>
          <t>Basecoat</t>
        </is>
      </c>
      <c r="D5" s="10" t="n">
        <v>4500000</v>
      </c>
      <c r="E5" s="10" t="n">
        <v>3000</v>
      </c>
      <c r="F5" s="11" t="n"/>
      <c r="G5" s="11" t="n"/>
    </row>
    <row r="6" ht="22" customHeight="1">
      <c r="A6" s="16" t="inlineStr">
        <is>
          <t>TOTAL INGRESOS</t>
        </is>
      </c>
      <c r="D6" s="17">
        <f>SUM(D5:D5)</f>
        <v/>
      </c>
      <c r="E6" s="17">
        <f>SUM(E5:E5)</f>
        <v/>
      </c>
      <c r="F6" s="18" t="n"/>
      <c r="G6" s="18" t="n"/>
    </row>
    <row r="7" ht="8" customHeight="1">
      <c r="A7" s="19" t="n"/>
      <c r="B7" s="19" t="n"/>
      <c r="C7" s="19" t="n"/>
      <c r="D7" s="19" t="n"/>
      <c r="E7" s="19" t="n"/>
      <c r="F7" s="19" t="n"/>
      <c r="G7" s="19" t="n"/>
    </row>
    <row r="8" ht="24" customHeight="1">
      <c r="A8" s="20" t="inlineStr">
        <is>
          <t>▼ EGRESOS FIJOS</t>
        </is>
      </c>
    </row>
    <row r="9" ht="20" customHeight="1">
      <c r="A9" s="21" t="inlineStr">
        <is>
          <t>#</t>
        </is>
      </c>
      <c r="B9" s="21" t="inlineStr">
        <is>
          <t>Description</t>
        </is>
      </c>
      <c r="C9" s="21" t="inlineStr">
        <is>
          <t>ARS</t>
        </is>
      </c>
      <c r="D9" s="21" t="inlineStr">
        <is>
          <t>USD</t>
        </is>
      </c>
      <c r="E9" s="21" t="inlineStr">
        <is>
          <t>Status</t>
        </is>
      </c>
      <c r="F9" s="21" t="inlineStr"/>
      <c r="G9" s="21" t="inlineStr"/>
    </row>
    <row r="10" ht="18" customHeight="1">
      <c r="A10" s="8" t="n">
        <v>1</v>
      </c>
      <c r="B10" s="9" t="inlineStr">
        <is>
          <t>Comida y mas</t>
        </is>
      </c>
      <c r="D10" s="10" t="n">
        <v>900000</v>
      </c>
      <c r="E10" s="10" t="n">
        <v>600</v>
      </c>
      <c r="F10" s="9" t="inlineStr"/>
      <c r="G10" s="11" t="n"/>
    </row>
    <row r="11" ht="18" customHeight="1">
      <c r="A11" s="12" t="n">
        <v>2</v>
      </c>
      <c r="B11" s="13" t="inlineStr">
        <is>
          <t>Swiss Dic</t>
        </is>
      </c>
      <c r="D11" s="14" t="n">
        <v>172000</v>
      </c>
      <c r="E11" s="14" t="n">
        <v>114.67</v>
      </c>
      <c r="F11" s="13" t="inlineStr"/>
      <c r="G11" s="15" t="n"/>
    </row>
    <row r="12" ht="18" customHeight="1">
      <c r="A12" s="8" t="n">
        <v>3</v>
      </c>
      <c r="B12" s="9" t="inlineStr">
        <is>
          <t>Olav Depto</t>
        </is>
      </c>
      <c r="D12" s="10" t="n">
        <v>150000</v>
      </c>
      <c r="E12" s="10" t="n">
        <v>100</v>
      </c>
      <c r="F12" s="9" t="inlineStr"/>
      <c r="G12" s="11" t="n"/>
    </row>
    <row r="13" ht="18" customHeight="1">
      <c r="A13" s="12" t="n">
        <v>4</v>
      </c>
      <c r="B13" s="13" t="inlineStr">
        <is>
          <t>Gym</t>
        </is>
      </c>
      <c r="D13" s="14" t="n">
        <v>34000</v>
      </c>
      <c r="E13" s="14" t="n">
        <v>22.67</v>
      </c>
      <c r="F13" s="13" t="inlineStr"/>
      <c r="G13" s="15" t="n"/>
    </row>
    <row r="14" ht="18" customHeight="1">
      <c r="A14" s="8" t="n">
        <v>5</v>
      </c>
      <c r="B14" s="9" t="inlineStr">
        <is>
          <t>Psico Anab</t>
        </is>
      </c>
      <c r="D14" s="10" t="n">
        <v>30000</v>
      </c>
      <c r="E14" s="10" t="n">
        <v>20</v>
      </c>
      <c r="F14" s="9" t="inlineStr"/>
      <c r="G14" s="11" t="n"/>
    </row>
    <row r="15" ht="18" customHeight="1">
      <c r="A15" s="12" t="n">
        <v>6</v>
      </c>
      <c r="B15" s="13" t="inlineStr">
        <is>
          <t>Santander Esp</t>
        </is>
      </c>
      <c r="D15" s="14" t="n">
        <v>20000</v>
      </c>
      <c r="E15" s="14" t="n">
        <v>13.33</v>
      </c>
      <c r="F15" s="13" t="inlineStr"/>
      <c r="G15" s="15" t="n"/>
    </row>
    <row r="16" ht="18" customHeight="1">
      <c r="A16" s="8" t="n">
        <v>7</v>
      </c>
      <c r="B16" s="9" t="inlineStr">
        <is>
          <t>Otorrino</t>
        </is>
      </c>
      <c r="D16" s="10" t="n">
        <v>60000</v>
      </c>
      <c r="E16" s="10" t="n">
        <v>40</v>
      </c>
      <c r="F16" s="9" t="inlineStr"/>
      <c r="G16" s="11" t="n"/>
    </row>
    <row r="17" ht="18" customHeight="1">
      <c r="A17" s="12" t="n">
        <v>8</v>
      </c>
      <c r="B17" s="13" t="inlineStr">
        <is>
          <t>Tenis</t>
        </is>
      </c>
      <c r="D17" s="14" t="n">
        <v>23000</v>
      </c>
      <c r="E17" s="14" t="n">
        <v>15.33</v>
      </c>
      <c r="F17" s="13" t="inlineStr"/>
      <c r="G17" s="15" t="n"/>
    </row>
    <row r="18" ht="18" customHeight="1">
      <c r="A18" s="8" t="n">
        <v>9</v>
      </c>
      <c r="B18" s="9" t="inlineStr">
        <is>
          <t>Internet</t>
        </is>
      </c>
      <c r="D18" s="10" t="n">
        <v>13748</v>
      </c>
      <c r="E18" s="10" t="n">
        <v>9.17</v>
      </c>
      <c r="F18" s="9" t="inlineStr"/>
      <c r="G18" s="11" t="n"/>
    </row>
    <row r="19" ht="18" customHeight="1">
      <c r="A19" s="12" t="n">
        <v>10</v>
      </c>
      <c r="B19" s="13" t="inlineStr">
        <is>
          <t>Alquiler Cancha Tenis</t>
        </is>
      </c>
      <c r="D19" s="14" t="n">
        <v>24000</v>
      </c>
      <c r="E19" s="14" t="n">
        <v>16</v>
      </c>
      <c r="F19" s="13" t="inlineStr"/>
      <c r="G19" s="15" t="n"/>
    </row>
    <row r="20" ht="18" customHeight="1">
      <c r="A20" s="8" t="n">
        <v>11</v>
      </c>
      <c r="B20" s="9" t="inlineStr">
        <is>
          <t>Haras Jodita</t>
        </is>
      </c>
      <c r="D20" s="10" t="n">
        <v>25000</v>
      </c>
      <c r="E20" s="10" t="n">
        <v>16.67</v>
      </c>
      <c r="F20" s="9" t="inlineStr"/>
      <c r="G20" s="11" t="n"/>
    </row>
    <row r="21" ht="18" customHeight="1">
      <c r="A21" s="12" t="n">
        <v>12</v>
      </c>
      <c r="B21" s="13" t="inlineStr">
        <is>
          <t>Racing x3</t>
        </is>
      </c>
      <c r="D21" s="14" t="n">
        <v>30000</v>
      </c>
      <c r="E21" s="14" t="n">
        <v>20</v>
      </c>
      <c r="F21" s="13" t="inlineStr"/>
      <c r="G21" s="15" t="n"/>
    </row>
    <row r="22" ht="22" customHeight="1">
      <c r="A22" s="16" t="inlineStr">
        <is>
          <t>TOTAL FIJOS</t>
        </is>
      </c>
      <c r="D22" s="17">
        <f>SUM(D10:D21)</f>
        <v/>
      </c>
      <c r="E22" s="17">
        <f>SUM(E10:E21)</f>
        <v/>
      </c>
      <c r="F22" s="18" t="n"/>
      <c r="G22" s="18" t="n"/>
    </row>
    <row r="23" ht="8" customHeight="1">
      <c r="A23" s="19" t="n"/>
      <c r="B23" s="19" t="n"/>
      <c r="C23" s="19" t="n"/>
      <c r="D23" s="19" t="n"/>
      <c r="E23" s="19" t="n"/>
      <c r="F23" s="19" t="n"/>
      <c r="G23" s="19" t="n"/>
    </row>
    <row r="24" ht="24" customHeight="1">
      <c r="A24" s="22" t="inlineStr">
        <is>
          <t>📋 GASTOS DEL MES</t>
        </is>
      </c>
    </row>
    <row r="25" ht="20" customHeight="1">
      <c r="A25" s="23" t="inlineStr">
        <is>
          <t>#</t>
        </is>
      </c>
      <c r="B25" s="23" t="inlineStr">
        <is>
          <t>Date</t>
        </is>
      </c>
      <c r="C25" s="23" t="inlineStr">
        <is>
          <t>Description</t>
        </is>
      </c>
      <c r="D25" s="23" t="inlineStr">
        <is>
          <t>ARS</t>
        </is>
      </c>
      <c r="E25" s="23" t="inlineStr">
        <is>
          <t>USD</t>
        </is>
      </c>
      <c r="F25" s="23" t="inlineStr">
        <is>
          <t>Category</t>
        </is>
      </c>
      <c r="G25" s="23" t="inlineStr">
        <is>
          <t>Payment</t>
        </is>
      </c>
    </row>
    <row r="26" ht="18" customHeight="1">
      <c r="A26" s="8" t="n">
        <v>1</v>
      </c>
      <c r="B26" s="8" t="inlineStr">
        <is>
          <t>01</t>
        </is>
      </c>
      <c r="C26" s="9" t="inlineStr">
        <is>
          <t>Shell</t>
        </is>
      </c>
      <c r="D26" s="10" t="n">
        <v>59000</v>
      </c>
      <c r="E26" s="10">
        <f>IF(D26&gt;0,D26/B$2,"")</f>
        <v/>
      </c>
      <c r="F26" s="9" t="inlineStr"/>
      <c r="G26" s="9" t="inlineStr"/>
    </row>
    <row r="27" ht="18" customHeight="1">
      <c r="A27" s="12" t="n">
        <v>2</v>
      </c>
      <c r="B27" s="12" t="inlineStr">
        <is>
          <t>02</t>
        </is>
      </c>
      <c r="C27" s="13" t="inlineStr">
        <is>
          <t>Chapita</t>
        </is>
      </c>
      <c r="D27" s="14" t="n">
        <v>40000</v>
      </c>
      <c r="E27" s="14">
        <f>IF(D27&gt;0,D27/B$2,"")</f>
        <v/>
      </c>
      <c r="F27" s="13" t="inlineStr"/>
      <c r="G27" s="13" t="inlineStr"/>
    </row>
    <row r="28" ht="18" customHeight="1">
      <c r="A28" s="8" t="n">
        <v>3</v>
      </c>
      <c r="B28" s="8" t="inlineStr">
        <is>
          <t>03</t>
        </is>
      </c>
      <c r="C28" s="9" t="inlineStr">
        <is>
          <t>Cosmos</t>
        </is>
      </c>
      <c r="D28" s="10" t="n">
        <v>90000</v>
      </c>
      <c r="E28" s="10">
        <f>IF(D28&gt;0,D28/B$2,"")</f>
        <v/>
      </c>
      <c r="F28" s="9" t="inlineStr"/>
      <c r="G28" s="9" t="inlineStr"/>
    </row>
    <row r="29" ht="18" customHeight="1">
      <c r="A29" s="12" t="n">
        <v>4</v>
      </c>
      <c r="B29" s="12" t="inlineStr">
        <is>
          <t>04</t>
        </is>
      </c>
      <c r="C29" s="13" t="inlineStr">
        <is>
          <t>Venti Cena</t>
        </is>
      </c>
      <c r="D29" s="14" t="n">
        <v>220000</v>
      </c>
      <c r="E29" s="14">
        <f>IF(D29&gt;0,D29/B$2,"")</f>
        <v/>
      </c>
      <c r="F29" s="13" t="inlineStr"/>
      <c r="G29" s="13" t="inlineStr"/>
    </row>
    <row r="30" ht="18" customHeight="1">
      <c r="A30" s="8" t="n">
        <v>5</v>
      </c>
      <c r="B30" s="8" t="inlineStr">
        <is>
          <t>05</t>
        </is>
      </c>
      <c r="C30" s="9" t="inlineStr">
        <is>
          <t>Casa</t>
        </is>
      </c>
      <c r="D30" s="10" t="n">
        <v>225000</v>
      </c>
      <c r="E30" s="10">
        <f>IF(D30&gt;0,D30/B$2,"")</f>
        <v/>
      </c>
      <c r="F30" s="9" t="inlineStr"/>
      <c r="G30" s="9" t="inlineStr"/>
    </row>
    <row r="31" ht="18" customHeight="1">
      <c r="A31" s="25" t="n"/>
      <c r="B31" s="25" t="n"/>
      <c r="C31" s="25" t="n"/>
      <c r="D31" s="25" t="n"/>
      <c r="E31" s="25" t="n"/>
      <c r="F31" s="25" t="n"/>
      <c r="G31" s="25" t="n"/>
    </row>
    <row r="32" ht="18" customHeight="1">
      <c r="A32" s="24" t="n"/>
      <c r="B32" s="24" t="n"/>
      <c r="C32" s="24" t="n"/>
      <c r="D32" s="24" t="n"/>
      <c r="E32" s="24" t="n"/>
      <c r="F32" s="24" t="n"/>
      <c r="G32" s="24" t="n"/>
    </row>
    <row r="33" ht="18" customHeight="1">
      <c r="A33" s="25" t="n"/>
      <c r="B33" s="25" t="n"/>
      <c r="C33" s="25" t="n"/>
      <c r="D33" s="25" t="n"/>
      <c r="E33" s="25" t="n"/>
      <c r="F33" s="25" t="n"/>
      <c r="G33" s="25" t="n"/>
    </row>
    <row r="34" ht="18" customHeight="1">
      <c r="A34" s="24" t="n"/>
      <c r="B34" s="24" t="n"/>
      <c r="C34" s="24" t="n"/>
      <c r="D34" s="24" t="n"/>
      <c r="E34" s="24" t="n"/>
      <c r="F34" s="24" t="n"/>
      <c r="G34" s="24" t="n"/>
    </row>
    <row r="35" ht="18" customHeight="1">
      <c r="A35" s="25" t="n"/>
      <c r="B35" s="25" t="n"/>
      <c r="C35" s="25" t="n"/>
      <c r="D35" s="25" t="n"/>
      <c r="E35" s="25" t="n"/>
      <c r="F35" s="25" t="n"/>
      <c r="G35" s="25" t="n"/>
    </row>
    <row r="36" ht="18" customHeight="1">
      <c r="A36" s="24" t="n"/>
      <c r="B36" s="24" t="n"/>
      <c r="C36" s="24" t="n"/>
      <c r="D36" s="24" t="n"/>
      <c r="E36" s="24" t="n"/>
      <c r="F36" s="24" t="n"/>
      <c r="G36" s="24" t="n"/>
    </row>
    <row r="37" ht="18" customHeight="1">
      <c r="A37" s="25" t="n"/>
      <c r="B37" s="25" t="n"/>
      <c r="C37" s="25" t="n"/>
      <c r="D37" s="25" t="n"/>
      <c r="E37" s="25" t="n"/>
      <c r="F37" s="25" t="n"/>
      <c r="G37" s="25" t="n"/>
    </row>
    <row r="38" ht="18" customHeight="1">
      <c r="A38" s="24" t="n"/>
      <c r="B38" s="24" t="n"/>
      <c r="C38" s="24" t="n"/>
      <c r="D38" s="24" t="n"/>
      <c r="E38" s="24" t="n"/>
      <c r="F38" s="24" t="n"/>
      <c r="G38" s="24" t="n"/>
    </row>
    <row r="39" ht="18" customHeight="1">
      <c r="A39" s="25" t="n"/>
      <c r="B39" s="25" t="n"/>
      <c r="C39" s="25" t="n"/>
      <c r="D39" s="25" t="n"/>
      <c r="E39" s="25" t="n"/>
      <c r="F39" s="25" t="n"/>
      <c r="G39" s="25" t="n"/>
    </row>
    <row r="40" ht="18" customHeight="1">
      <c r="A40" s="24" t="n"/>
      <c r="B40" s="24" t="n"/>
      <c r="C40" s="24" t="n"/>
      <c r="D40" s="24" t="n"/>
      <c r="E40" s="24" t="n"/>
      <c r="F40" s="24" t="n"/>
      <c r="G40" s="24" t="n"/>
    </row>
    <row r="41" ht="18" customHeight="1">
      <c r="A41" s="25" t="n"/>
      <c r="B41" s="25" t="n"/>
      <c r="C41" s="25" t="n"/>
      <c r="D41" s="25" t="n"/>
      <c r="E41" s="25" t="n"/>
      <c r="F41" s="25" t="n"/>
      <c r="G41" s="25" t="n"/>
    </row>
    <row r="42" ht="18" customHeight="1">
      <c r="A42" s="24" t="n"/>
      <c r="B42" s="24" t="n"/>
      <c r="C42" s="24" t="n"/>
      <c r="D42" s="24" t="n"/>
      <c r="E42" s="24" t="n"/>
      <c r="F42" s="24" t="n"/>
      <c r="G42" s="24" t="n"/>
    </row>
    <row r="43" ht="18" customHeight="1">
      <c r="A43" s="25" t="n"/>
      <c r="B43" s="25" t="n"/>
      <c r="C43" s="25" t="n"/>
      <c r="D43" s="25" t="n"/>
      <c r="E43" s="25" t="n"/>
      <c r="F43" s="25" t="n"/>
      <c r="G43" s="25" t="n"/>
    </row>
    <row r="44" ht="18" customHeight="1">
      <c r="A44" s="24" t="n"/>
      <c r="B44" s="24" t="n"/>
      <c r="C44" s="24" t="n"/>
      <c r="D44" s="24" t="n"/>
      <c r="E44" s="24" t="n"/>
      <c r="F44" s="24" t="n"/>
      <c r="G44" s="24" t="n"/>
    </row>
    <row r="45" ht="18" customHeight="1">
      <c r="A45" s="25" t="n"/>
      <c r="B45" s="25" t="n"/>
      <c r="C45" s="25" t="n"/>
      <c r="D45" s="25" t="n"/>
      <c r="E45" s="25" t="n"/>
      <c r="F45" s="25" t="n"/>
      <c r="G45" s="25" t="n"/>
    </row>
    <row r="46" ht="18" customHeight="1">
      <c r="A46" s="24" t="n"/>
      <c r="B46" s="24" t="n"/>
      <c r="C46" s="24" t="n"/>
      <c r="D46" s="24" t="n"/>
      <c r="E46" s="24" t="n"/>
      <c r="F46" s="24" t="n"/>
      <c r="G46" s="24" t="n"/>
    </row>
    <row r="47" ht="18" customHeight="1">
      <c r="A47" s="25" t="n"/>
      <c r="B47" s="25" t="n"/>
      <c r="C47" s="25" t="n"/>
      <c r="D47" s="25" t="n"/>
      <c r="E47" s="25" t="n"/>
      <c r="F47" s="25" t="n"/>
      <c r="G47" s="25" t="n"/>
    </row>
    <row r="48" ht="18" customHeight="1">
      <c r="A48" s="24" t="n"/>
      <c r="B48" s="24" t="n"/>
      <c r="C48" s="24" t="n"/>
      <c r="D48" s="24" t="n"/>
      <c r="E48" s="24" t="n"/>
      <c r="F48" s="24" t="n"/>
      <c r="G48" s="24" t="n"/>
    </row>
    <row r="49" ht="18" customHeight="1">
      <c r="A49" s="25" t="n"/>
      <c r="B49" s="25" t="n"/>
      <c r="C49" s="25" t="n"/>
      <c r="D49" s="25" t="n"/>
      <c r="E49" s="25" t="n"/>
      <c r="F49" s="25" t="n"/>
      <c r="G49" s="25" t="n"/>
    </row>
    <row r="50" ht="18" customHeight="1">
      <c r="A50" s="24" t="n"/>
      <c r="B50" s="24" t="n"/>
      <c r="C50" s="24" t="n"/>
      <c r="D50" s="24" t="n"/>
      <c r="E50" s="24" t="n"/>
      <c r="F50" s="24" t="n"/>
      <c r="G50" s="24" t="n"/>
    </row>
    <row r="51" ht="22" customHeight="1">
      <c r="A51" s="16" t="inlineStr">
        <is>
          <t>TOTAL VARIABLE</t>
        </is>
      </c>
      <c r="D51" s="17">
        <f>SUM(D26:D50)</f>
        <v/>
      </c>
      <c r="E51" s="17">
        <f>SUM(E26:E50)</f>
        <v/>
      </c>
      <c r="F51" s="18" t="n"/>
      <c r="G51" s="18" t="n"/>
    </row>
    <row r="52" ht="8" customHeight="1">
      <c r="A52" s="19" t="n"/>
      <c r="B52" s="19" t="n"/>
      <c r="C52" s="19" t="n"/>
      <c r="D52" s="19" t="n"/>
      <c r="E52" s="19" t="n"/>
      <c r="F52" s="19" t="n"/>
      <c r="G52" s="19" t="n"/>
    </row>
    <row r="53" ht="26" customHeight="1">
      <c r="A53" s="26" t="inlineStr">
        <is>
          <t>💰 BALANCE</t>
        </is>
      </c>
      <c r="D53" s="27">
        <f>D6-D22-D51</f>
        <v/>
      </c>
      <c r="E53" s="27">
        <f>E6-E22-E51</f>
        <v/>
      </c>
      <c r="F53" s="28" t="n"/>
      <c r="G53" s="28" t="n"/>
    </row>
  </sheetData>
  <mergeCells count="21">
    <mergeCell ref="B16:C16"/>
    <mergeCell ref="A8:G8"/>
    <mergeCell ref="B18:C18"/>
    <mergeCell ref="B12:C12"/>
    <mergeCell ref="B21:C21"/>
    <mergeCell ref="B11:C11"/>
    <mergeCell ref="A22:C22"/>
    <mergeCell ref="A24:G24"/>
    <mergeCell ref="B14:C14"/>
    <mergeCell ref="A53:C53"/>
    <mergeCell ref="B17:C17"/>
    <mergeCell ref="B13:C13"/>
    <mergeCell ref="A1:G1"/>
    <mergeCell ref="B19:C19"/>
    <mergeCell ref="B10:C10"/>
    <mergeCell ref="A51:C51"/>
    <mergeCell ref="B15:C15"/>
    <mergeCell ref="A3:G3"/>
    <mergeCell ref="B20:C20"/>
    <mergeCell ref="A6:C6"/>
    <mergeCell ref="A2"/>
  </mergeCells>
  <dataValidations count="3">
    <dataValidation sqref="F26:F50" showDropDown="0" showInputMessage="0" showErrorMessage="0" allowBlank="1" type="list">
      <formula1>"Food,Transport,Health,Utilities,Entertainment,Tax,Savings,Big Buy,Personal,Other"</formula1>
    </dataValidation>
    <dataValidation sqref="G26:G50" showDropDown="0" showInputMessage="0" showErrorMessage="0" allowBlank="1" type="list">
      <formula1>"Cash ARS,USD Cash,Wise,Binance,MercadoPago,Tarjeta"</formula1>
    </dataValidation>
    <dataValidation sqref="E10:E21" showDropDown="0" showInputMessage="0" showErrorMessage="0" allowBlank="1" type="list">
      <formula1>"Pagado,Pendiente,Auto"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2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 ht="30" customHeight="1">
      <c r="A1" s="1" t="inlineStr">
        <is>
          <t>💸 FEB 2026 — GASTOS MENSUALES</t>
        </is>
      </c>
    </row>
    <row r="2" ht="22" customHeight="1">
      <c r="A2" s="2" t="inlineStr">
        <is>
          <t>USD/ARS</t>
        </is>
      </c>
      <c r="B2" s="3" t="n">
        <v>1500</v>
      </c>
      <c r="C2" s="4" t="inlineStr">
        <is>
          <t>← update monthly</t>
        </is>
      </c>
      <c r="D2" s="5" t="n"/>
      <c r="E2" s="5" t="n"/>
      <c r="F2" s="5" t="n"/>
      <c r="G2" s="5" t="n"/>
    </row>
    <row r="3" ht="24" customHeight="1">
      <c r="A3" s="6" t="inlineStr">
        <is>
          <t>▲ INGRESOS</t>
        </is>
      </c>
    </row>
    <row r="4" ht="20" customHeight="1">
      <c r="A4" s="7" t="inlineStr">
        <is>
          <t>#</t>
        </is>
      </c>
      <c r="B4" s="7" t="inlineStr">
        <is>
          <t>Source</t>
        </is>
      </c>
      <c r="C4" s="7" t="inlineStr">
        <is>
          <t>Description</t>
        </is>
      </c>
      <c r="D4" s="7" t="inlineStr">
        <is>
          <t>ARS</t>
        </is>
      </c>
      <c r="E4" s="7" t="inlineStr">
        <is>
          <t>USD</t>
        </is>
      </c>
    </row>
    <row r="5" ht="18" customHeight="1">
      <c r="A5" s="8" t="n">
        <v>1</v>
      </c>
      <c r="B5" s="9" t="inlineStr"/>
      <c r="C5" s="9" t="inlineStr">
        <is>
          <t>Basecoat</t>
        </is>
      </c>
      <c r="D5" s="10" t="n">
        <v>4500000</v>
      </c>
      <c r="E5" s="10" t="n">
        <v>3000</v>
      </c>
      <c r="F5" s="11" t="n"/>
      <c r="G5" s="11" t="n"/>
    </row>
    <row r="6" ht="22" customHeight="1">
      <c r="A6" s="16" t="inlineStr">
        <is>
          <t>TOTAL INGRESOS</t>
        </is>
      </c>
      <c r="D6" s="17">
        <f>SUM(D5:D5)</f>
        <v/>
      </c>
      <c r="E6" s="17">
        <f>SUM(E5:E5)</f>
        <v/>
      </c>
      <c r="F6" s="18" t="n"/>
      <c r="G6" s="18" t="n"/>
    </row>
    <row r="7" ht="8" customHeight="1">
      <c r="A7" s="19" t="n"/>
      <c r="B7" s="19" t="n"/>
      <c r="C7" s="19" t="n"/>
      <c r="D7" s="19" t="n"/>
      <c r="E7" s="19" t="n"/>
      <c r="F7" s="19" t="n"/>
      <c r="G7" s="19" t="n"/>
    </row>
    <row r="8" ht="24" customHeight="1">
      <c r="A8" s="20" t="inlineStr">
        <is>
          <t>▼ EGRESOS FIJOS</t>
        </is>
      </c>
    </row>
    <row r="9" ht="20" customHeight="1">
      <c r="A9" s="21" t="inlineStr">
        <is>
          <t>#</t>
        </is>
      </c>
      <c r="B9" s="21" t="inlineStr">
        <is>
          <t>Description</t>
        </is>
      </c>
      <c r="C9" s="21" t="inlineStr">
        <is>
          <t>ARS</t>
        </is>
      </c>
      <c r="D9" s="21" t="inlineStr">
        <is>
          <t>USD</t>
        </is>
      </c>
      <c r="E9" s="21" t="inlineStr">
        <is>
          <t>Status</t>
        </is>
      </c>
      <c r="F9" s="21" t="inlineStr"/>
      <c r="G9" s="21" t="inlineStr"/>
    </row>
    <row r="10" ht="18" customHeight="1">
      <c r="A10" s="8" t="n">
        <v>1</v>
      </c>
      <c r="B10" s="9" t="inlineStr">
        <is>
          <t>Comida y mas</t>
        </is>
      </c>
      <c r="D10" s="10" t="n">
        <v>900000</v>
      </c>
      <c r="E10" s="10" t="n">
        <v>600</v>
      </c>
      <c r="F10" s="9" t="inlineStr"/>
      <c r="G10" s="11" t="n"/>
    </row>
    <row r="11" ht="18" customHeight="1">
      <c r="A11" s="12" t="n">
        <v>2</v>
      </c>
      <c r="B11" s="13" t="inlineStr">
        <is>
          <t>Swiss Dic</t>
        </is>
      </c>
      <c r="D11" s="14" t="n">
        <v>172000</v>
      </c>
      <c r="E11" s="14" t="n">
        <v>114.67</v>
      </c>
      <c r="F11" s="13" t="inlineStr"/>
      <c r="G11" s="15" t="n"/>
    </row>
    <row r="12" ht="18" customHeight="1">
      <c r="A12" s="8" t="n">
        <v>3</v>
      </c>
      <c r="B12" s="9" t="inlineStr">
        <is>
          <t>Olav Depto</t>
        </is>
      </c>
      <c r="D12" s="10" t="n">
        <v>150000</v>
      </c>
      <c r="E12" s="10" t="n">
        <v>100</v>
      </c>
      <c r="F12" s="9" t="inlineStr"/>
      <c r="G12" s="11" t="n"/>
    </row>
    <row r="13" ht="18" customHeight="1">
      <c r="A13" s="12" t="n">
        <v>4</v>
      </c>
      <c r="B13" s="13" t="inlineStr">
        <is>
          <t>Gym</t>
        </is>
      </c>
      <c r="D13" s="14" t="n">
        <v>34000</v>
      </c>
      <c r="E13" s="14" t="n">
        <v>22.67</v>
      </c>
      <c r="F13" s="13" t="inlineStr"/>
      <c r="G13" s="15" t="n"/>
    </row>
    <row r="14" ht="18" customHeight="1">
      <c r="A14" s="8" t="n">
        <v>5</v>
      </c>
      <c r="B14" s="9" t="inlineStr">
        <is>
          <t>Psico Anab</t>
        </is>
      </c>
      <c r="D14" s="10" t="n">
        <v>30000</v>
      </c>
      <c r="E14" s="10" t="n">
        <v>20</v>
      </c>
      <c r="F14" s="9" t="inlineStr"/>
      <c r="G14" s="11" t="n"/>
    </row>
    <row r="15" ht="18" customHeight="1">
      <c r="A15" s="12" t="n">
        <v>6</v>
      </c>
      <c r="B15" s="13" t="inlineStr">
        <is>
          <t>Santander Esp</t>
        </is>
      </c>
      <c r="D15" s="14" t="n">
        <v>20000</v>
      </c>
      <c r="E15" s="14" t="n">
        <v>13.33</v>
      </c>
      <c r="F15" s="13" t="inlineStr"/>
      <c r="G15" s="15" t="n"/>
    </row>
    <row r="16" ht="18" customHeight="1">
      <c r="A16" s="8" t="n">
        <v>7</v>
      </c>
      <c r="B16" s="9" t="inlineStr">
        <is>
          <t>Otorrino</t>
        </is>
      </c>
      <c r="D16" s="10" t="n">
        <v>60000</v>
      </c>
      <c r="E16" s="10" t="n">
        <v>40</v>
      </c>
      <c r="F16" s="9" t="inlineStr"/>
      <c r="G16" s="11" t="n"/>
    </row>
    <row r="17" ht="18" customHeight="1">
      <c r="A17" s="12" t="n">
        <v>8</v>
      </c>
      <c r="B17" s="13" t="inlineStr">
        <is>
          <t>Tenis</t>
        </is>
      </c>
      <c r="D17" s="14" t="n">
        <v>23000</v>
      </c>
      <c r="E17" s="14" t="n">
        <v>15.33</v>
      </c>
      <c r="F17" s="13" t="inlineStr"/>
      <c r="G17" s="15" t="n"/>
    </row>
    <row r="18" ht="18" customHeight="1">
      <c r="A18" s="8" t="n">
        <v>9</v>
      </c>
      <c r="B18" s="9" t="inlineStr">
        <is>
          <t>Internet</t>
        </is>
      </c>
      <c r="D18" s="10" t="n">
        <v>13748</v>
      </c>
      <c r="E18" s="10" t="n">
        <v>9.17</v>
      </c>
      <c r="F18" s="9" t="inlineStr"/>
      <c r="G18" s="11" t="n"/>
    </row>
    <row r="19" ht="18" customHeight="1">
      <c r="A19" s="12" t="n">
        <v>10</v>
      </c>
      <c r="B19" s="13" t="inlineStr">
        <is>
          <t>Alquiler Cancha Tenis</t>
        </is>
      </c>
      <c r="D19" s="14" t="n">
        <v>24000</v>
      </c>
      <c r="E19" s="14" t="n">
        <v>16</v>
      </c>
      <c r="F19" s="13" t="inlineStr"/>
      <c r="G19" s="15" t="n"/>
    </row>
    <row r="20" ht="18" customHeight="1">
      <c r="A20" s="8" t="n">
        <v>11</v>
      </c>
      <c r="B20" s="9" t="inlineStr">
        <is>
          <t>Haras Jodita</t>
        </is>
      </c>
      <c r="D20" s="10" t="n">
        <v>25000</v>
      </c>
      <c r="E20" s="10" t="n">
        <v>16.67</v>
      </c>
      <c r="F20" s="9" t="inlineStr"/>
      <c r="G20" s="11" t="n"/>
    </row>
    <row r="21" ht="18" customHeight="1">
      <c r="A21" s="12" t="n">
        <v>12</v>
      </c>
      <c r="B21" s="13" t="inlineStr">
        <is>
          <t>Racing x3</t>
        </is>
      </c>
      <c r="D21" s="14" t="n">
        <v>30000</v>
      </c>
      <c r="E21" s="14" t="n">
        <v>20</v>
      </c>
      <c r="F21" s="13" t="inlineStr"/>
      <c r="G21" s="15" t="n"/>
    </row>
    <row r="22" ht="22" customHeight="1">
      <c r="A22" s="16" t="inlineStr">
        <is>
          <t>TOTAL FIJOS</t>
        </is>
      </c>
      <c r="D22" s="17">
        <f>SUM(D10:D21)</f>
        <v/>
      </c>
      <c r="E22" s="17">
        <f>SUM(E10:E21)</f>
        <v/>
      </c>
      <c r="F22" s="18" t="n"/>
      <c r="G22" s="18" t="n"/>
    </row>
    <row r="23" ht="8" customHeight="1">
      <c r="A23" s="19" t="n"/>
      <c r="B23" s="19" t="n"/>
      <c r="C23" s="19" t="n"/>
      <c r="D23" s="19" t="n"/>
      <c r="E23" s="19" t="n"/>
      <c r="F23" s="19" t="n"/>
      <c r="G23" s="19" t="n"/>
    </row>
    <row r="24" ht="24" customHeight="1">
      <c r="A24" s="22" t="inlineStr">
        <is>
          <t>📋 GASTOS DEL MES</t>
        </is>
      </c>
    </row>
    <row r="25" ht="20" customHeight="1">
      <c r="A25" s="23" t="inlineStr">
        <is>
          <t>#</t>
        </is>
      </c>
      <c r="B25" s="23" t="inlineStr">
        <is>
          <t>Date</t>
        </is>
      </c>
      <c r="C25" s="23" t="inlineStr">
        <is>
          <t>Description</t>
        </is>
      </c>
      <c r="D25" s="23" t="inlineStr">
        <is>
          <t>ARS</t>
        </is>
      </c>
      <c r="E25" s="23" t="inlineStr">
        <is>
          <t>USD</t>
        </is>
      </c>
      <c r="F25" s="23" t="inlineStr">
        <is>
          <t>Category</t>
        </is>
      </c>
      <c r="G25" s="23" t="inlineStr">
        <is>
          <t>Payment</t>
        </is>
      </c>
    </row>
    <row r="26" ht="18" customHeight="1">
      <c r="A26" s="8" t="n">
        <v>1</v>
      </c>
      <c r="B26" s="8" t="inlineStr">
        <is>
          <t>01</t>
        </is>
      </c>
      <c r="C26" s="9" t="inlineStr">
        <is>
          <t>Shell</t>
        </is>
      </c>
      <c r="D26" s="10" t="n">
        <v>59000</v>
      </c>
      <c r="E26" s="10">
        <f>IF(D26&gt;0,D26/B$2,"")</f>
        <v/>
      </c>
      <c r="F26" s="9" t="inlineStr"/>
      <c r="G26" s="9" t="inlineStr"/>
    </row>
    <row r="27" ht="18" customHeight="1">
      <c r="A27" s="12" t="n">
        <v>2</v>
      </c>
      <c r="B27" s="12" t="inlineStr">
        <is>
          <t>02</t>
        </is>
      </c>
      <c r="C27" s="13" t="inlineStr">
        <is>
          <t>Chapita</t>
        </is>
      </c>
      <c r="D27" s="14" t="n">
        <v>40000</v>
      </c>
      <c r="E27" s="14">
        <f>IF(D27&gt;0,D27/B$2,"")</f>
        <v/>
      </c>
      <c r="F27" s="13" t="inlineStr"/>
      <c r="G27" s="13" t="inlineStr"/>
    </row>
    <row r="28" ht="18" customHeight="1">
      <c r="A28" s="8" t="n">
        <v>3</v>
      </c>
      <c r="B28" s="8" t="inlineStr">
        <is>
          <t>03</t>
        </is>
      </c>
      <c r="C28" s="9" t="inlineStr">
        <is>
          <t>Cosmos</t>
        </is>
      </c>
      <c r="D28" s="10" t="n">
        <v>90000</v>
      </c>
      <c r="E28" s="10">
        <f>IF(D28&gt;0,D28/B$2,"")</f>
        <v/>
      </c>
      <c r="F28" s="9" t="inlineStr"/>
      <c r="G28" s="9" t="inlineStr"/>
    </row>
    <row r="29" ht="18" customHeight="1">
      <c r="A29" s="12" t="n">
        <v>4</v>
      </c>
      <c r="B29" s="12" t="inlineStr">
        <is>
          <t>04</t>
        </is>
      </c>
      <c r="C29" s="13" t="inlineStr">
        <is>
          <t>Venti Cena</t>
        </is>
      </c>
      <c r="D29" s="14" t="n">
        <v>220000</v>
      </c>
      <c r="E29" s="14">
        <f>IF(D29&gt;0,D29/B$2,"")</f>
        <v/>
      </c>
      <c r="F29" s="13" t="inlineStr"/>
      <c r="G29" s="13" t="inlineStr"/>
    </row>
    <row r="30" ht="18" customHeight="1">
      <c r="A30" s="8" t="n">
        <v>5</v>
      </c>
      <c r="B30" s="8" t="inlineStr">
        <is>
          <t>05</t>
        </is>
      </c>
      <c r="C30" s="9" t="inlineStr">
        <is>
          <t>Casa</t>
        </is>
      </c>
      <c r="D30" s="10" t="n">
        <v>225000</v>
      </c>
      <c r="E30" s="10">
        <f>IF(D30&gt;0,D30/B$2,"")</f>
        <v/>
      </c>
      <c r="F30" s="9" t="inlineStr"/>
      <c r="G30" s="9" t="inlineStr"/>
    </row>
    <row r="31" ht="18" customHeight="1">
      <c r="A31" s="25" t="n"/>
      <c r="B31" s="25" t="n"/>
      <c r="C31" s="25" t="n"/>
      <c r="D31" s="25" t="n"/>
      <c r="E31" s="25" t="n"/>
      <c r="F31" s="25" t="n"/>
      <c r="G31" s="25" t="n"/>
    </row>
    <row r="32" ht="18" customHeight="1">
      <c r="A32" s="24" t="n"/>
      <c r="B32" s="24" t="n"/>
      <c r="C32" s="24" t="n"/>
      <c r="D32" s="24" t="n"/>
      <c r="E32" s="24" t="n"/>
      <c r="F32" s="24" t="n"/>
      <c r="G32" s="24" t="n"/>
    </row>
    <row r="33" ht="18" customHeight="1">
      <c r="A33" s="25" t="n"/>
      <c r="B33" s="25" t="n"/>
      <c r="C33" s="25" t="n"/>
      <c r="D33" s="25" t="n"/>
      <c r="E33" s="25" t="n"/>
      <c r="F33" s="25" t="n"/>
      <c r="G33" s="25" t="n"/>
    </row>
    <row r="34" ht="18" customHeight="1">
      <c r="A34" s="24" t="n"/>
      <c r="B34" s="24" t="n"/>
      <c r="C34" s="24" t="n"/>
      <c r="D34" s="24" t="n"/>
      <c r="E34" s="24" t="n"/>
      <c r="F34" s="24" t="n"/>
      <c r="G34" s="24" t="n"/>
    </row>
    <row r="35" ht="18" customHeight="1">
      <c r="A35" s="25" t="n"/>
      <c r="B35" s="25" t="n"/>
      <c r="C35" s="25" t="n"/>
      <c r="D35" s="25" t="n"/>
      <c r="E35" s="25" t="n"/>
      <c r="F35" s="25" t="n"/>
      <c r="G35" s="25" t="n"/>
    </row>
    <row r="36" ht="18" customHeight="1">
      <c r="A36" s="24" t="n"/>
      <c r="B36" s="24" t="n"/>
      <c r="C36" s="24" t="n"/>
      <c r="D36" s="24" t="n"/>
      <c r="E36" s="24" t="n"/>
      <c r="F36" s="24" t="n"/>
      <c r="G36" s="24" t="n"/>
    </row>
    <row r="37" ht="18" customHeight="1">
      <c r="A37" s="25" t="n"/>
      <c r="B37" s="25" t="n"/>
      <c r="C37" s="25" t="n"/>
      <c r="D37" s="25" t="n"/>
      <c r="E37" s="25" t="n"/>
      <c r="F37" s="25" t="n"/>
      <c r="G37" s="25" t="n"/>
    </row>
    <row r="38" ht="18" customHeight="1">
      <c r="A38" s="24" t="n"/>
      <c r="B38" s="24" t="n"/>
      <c r="C38" s="24" t="n"/>
      <c r="D38" s="24" t="n"/>
      <c r="E38" s="24" t="n"/>
      <c r="F38" s="24" t="n"/>
      <c r="G38" s="24" t="n"/>
    </row>
    <row r="39" ht="18" customHeight="1">
      <c r="A39" s="25" t="n"/>
      <c r="B39" s="25" t="n"/>
      <c r="C39" s="25" t="n"/>
      <c r="D39" s="25" t="n"/>
      <c r="E39" s="25" t="n"/>
      <c r="F39" s="25" t="n"/>
      <c r="G39" s="25" t="n"/>
    </row>
    <row r="40" ht="18" customHeight="1">
      <c r="A40" s="24" t="n"/>
      <c r="B40" s="24" t="n"/>
      <c r="C40" s="24" t="n"/>
      <c r="D40" s="24" t="n"/>
      <c r="E40" s="24" t="n"/>
      <c r="F40" s="24" t="n"/>
      <c r="G40" s="24" t="n"/>
    </row>
    <row r="41" ht="18" customHeight="1">
      <c r="A41" s="25" t="n"/>
      <c r="B41" s="25" t="n"/>
      <c r="C41" s="25" t="n"/>
      <c r="D41" s="25" t="n"/>
      <c r="E41" s="25" t="n"/>
      <c r="F41" s="25" t="n"/>
      <c r="G41" s="25" t="n"/>
    </row>
    <row r="42" ht="18" customHeight="1">
      <c r="A42" s="24" t="n"/>
      <c r="B42" s="24" t="n"/>
      <c r="C42" s="24" t="n"/>
      <c r="D42" s="24" t="n"/>
      <c r="E42" s="24" t="n"/>
      <c r="F42" s="24" t="n"/>
      <c r="G42" s="24" t="n"/>
    </row>
    <row r="43" ht="18" customHeight="1">
      <c r="A43" s="25" t="n"/>
      <c r="B43" s="25" t="n"/>
      <c r="C43" s="25" t="n"/>
      <c r="D43" s="25" t="n"/>
      <c r="E43" s="25" t="n"/>
      <c r="F43" s="25" t="n"/>
      <c r="G43" s="25" t="n"/>
    </row>
    <row r="44" ht="18" customHeight="1">
      <c r="A44" s="24" t="n"/>
      <c r="B44" s="24" t="n"/>
      <c r="C44" s="24" t="n"/>
      <c r="D44" s="24" t="n"/>
      <c r="E44" s="24" t="n"/>
      <c r="F44" s="24" t="n"/>
      <c r="G44" s="24" t="n"/>
    </row>
    <row r="45" ht="18" customHeight="1">
      <c r="A45" s="25" t="n"/>
      <c r="B45" s="25" t="n"/>
      <c r="C45" s="25" t="n"/>
      <c r="D45" s="25" t="n"/>
      <c r="E45" s="25" t="n"/>
      <c r="F45" s="25" t="n"/>
      <c r="G45" s="25" t="n"/>
    </row>
    <row r="46" ht="18" customHeight="1">
      <c r="A46" s="24" t="n"/>
      <c r="B46" s="24" t="n"/>
      <c r="C46" s="24" t="n"/>
      <c r="D46" s="24" t="n"/>
      <c r="E46" s="24" t="n"/>
      <c r="F46" s="24" t="n"/>
      <c r="G46" s="24" t="n"/>
    </row>
    <row r="47" ht="18" customHeight="1">
      <c r="A47" s="25" t="n"/>
      <c r="B47" s="25" t="n"/>
      <c r="C47" s="25" t="n"/>
      <c r="D47" s="25" t="n"/>
      <c r="E47" s="25" t="n"/>
      <c r="F47" s="25" t="n"/>
      <c r="G47" s="25" t="n"/>
    </row>
    <row r="48" ht="18" customHeight="1">
      <c r="A48" s="24" t="n"/>
      <c r="B48" s="24" t="n"/>
      <c r="C48" s="24" t="n"/>
      <c r="D48" s="24" t="n"/>
      <c r="E48" s="24" t="n"/>
      <c r="F48" s="24" t="n"/>
      <c r="G48" s="24" t="n"/>
    </row>
    <row r="49" ht="18" customHeight="1">
      <c r="A49" s="25" t="n"/>
      <c r="B49" s="25" t="n"/>
      <c r="C49" s="25" t="n"/>
      <c r="D49" s="25" t="n"/>
      <c r="E49" s="25" t="n"/>
      <c r="F49" s="25" t="n"/>
      <c r="G49" s="25" t="n"/>
    </row>
    <row r="50" ht="18" customHeight="1">
      <c r="A50" s="24" t="n"/>
      <c r="B50" s="24" t="n"/>
      <c r="C50" s="24" t="n"/>
      <c r="D50" s="24" t="n"/>
      <c r="E50" s="24" t="n"/>
      <c r="F50" s="24" t="n"/>
      <c r="G50" s="24" t="n"/>
    </row>
    <row r="51" ht="22" customHeight="1">
      <c r="A51" s="16" t="inlineStr">
        <is>
          <t>TOTAL VARIABLE</t>
        </is>
      </c>
      <c r="D51" s="17">
        <f>SUM(D26:D50)</f>
        <v/>
      </c>
      <c r="E51" s="17">
        <f>SUM(E26:E50)</f>
        <v/>
      </c>
      <c r="F51" s="18" t="n"/>
      <c r="G51" s="18" t="n"/>
    </row>
    <row r="52" ht="8" customHeight="1">
      <c r="A52" s="19" t="n"/>
      <c r="B52" s="19" t="n"/>
      <c r="C52" s="19" t="n"/>
      <c r="D52" s="19" t="n"/>
      <c r="E52" s="19" t="n"/>
      <c r="F52" s="19" t="n"/>
      <c r="G52" s="19" t="n"/>
    </row>
    <row r="53" ht="26" customHeight="1">
      <c r="A53" s="26" t="inlineStr">
        <is>
          <t>💰 BALANCE</t>
        </is>
      </c>
      <c r="D53" s="27">
        <f>D6-D22-D51</f>
        <v/>
      </c>
      <c r="E53" s="27">
        <f>E6-E22-E51</f>
        <v/>
      </c>
      <c r="F53" s="28" t="n"/>
      <c r="G53" s="28" t="n"/>
    </row>
  </sheetData>
  <mergeCells count="21">
    <mergeCell ref="B16:C16"/>
    <mergeCell ref="A8:G8"/>
    <mergeCell ref="B18:C18"/>
    <mergeCell ref="B12:C12"/>
    <mergeCell ref="B21:C21"/>
    <mergeCell ref="B11:C11"/>
    <mergeCell ref="A22:C22"/>
    <mergeCell ref="A24:G24"/>
    <mergeCell ref="B14:C14"/>
    <mergeCell ref="A53:C53"/>
    <mergeCell ref="B17:C17"/>
    <mergeCell ref="B13:C13"/>
    <mergeCell ref="A1:G1"/>
    <mergeCell ref="B19:C19"/>
    <mergeCell ref="B10:C10"/>
    <mergeCell ref="A51:C51"/>
    <mergeCell ref="B15:C15"/>
    <mergeCell ref="A3:G3"/>
    <mergeCell ref="B20:C20"/>
    <mergeCell ref="A6:C6"/>
    <mergeCell ref="A2"/>
  </mergeCells>
  <dataValidations count="3">
    <dataValidation sqref="F26:F50" showDropDown="0" showInputMessage="0" showErrorMessage="0" allowBlank="1" type="list">
      <formula1>"Food,Transport,Health,Utilities,Entertainment,Tax,Savings,Big Buy,Personal,Other"</formula1>
    </dataValidation>
    <dataValidation sqref="G26:G50" showDropDown="0" showInputMessage="0" showErrorMessage="0" allowBlank="1" type="list">
      <formula1>"Cash ARS,USD Cash,Wise,Binance,MercadoPago,Tarjeta"</formula1>
    </dataValidation>
    <dataValidation sqref="E10:E21" showDropDown="0" showInputMessage="0" showErrorMessage="0" allowBlank="1" type="list">
      <formula1>"Pagado,Pendiente,Auto"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2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 ht="30" customHeight="1">
      <c r="A1" s="1" t="inlineStr">
        <is>
          <t>💸 MAR 2026 — GASTOS MENSUALES</t>
        </is>
      </c>
    </row>
    <row r="2" ht="22" customHeight="1">
      <c r="A2" s="2" t="inlineStr">
        <is>
          <t>USD/ARS</t>
        </is>
      </c>
      <c r="B2" s="3" t="n">
        <v>1500</v>
      </c>
      <c r="C2" s="4" t="inlineStr">
        <is>
          <t>← update monthly</t>
        </is>
      </c>
      <c r="D2" s="5" t="n"/>
      <c r="E2" s="5" t="n"/>
      <c r="F2" s="5" t="n"/>
      <c r="G2" s="5" t="n"/>
    </row>
    <row r="3" ht="24" customHeight="1">
      <c r="A3" s="6" t="inlineStr">
        <is>
          <t>▲ INGRESOS</t>
        </is>
      </c>
    </row>
    <row r="4" ht="20" customHeight="1">
      <c r="A4" s="7" t="inlineStr">
        <is>
          <t>#</t>
        </is>
      </c>
      <c r="B4" s="7" t="inlineStr">
        <is>
          <t>Source</t>
        </is>
      </c>
      <c r="C4" s="7" t="inlineStr">
        <is>
          <t>Description</t>
        </is>
      </c>
      <c r="D4" s="7" t="inlineStr">
        <is>
          <t>ARS</t>
        </is>
      </c>
      <c r="E4" s="7" t="inlineStr">
        <is>
          <t>USD</t>
        </is>
      </c>
    </row>
    <row r="5" ht="18" customHeight="1">
      <c r="A5" s="8" t="n">
        <v>1</v>
      </c>
      <c r="B5" s="9" t="inlineStr"/>
      <c r="C5" s="9" t="inlineStr">
        <is>
          <t>Basecoat</t>
        </is>
      </c>
      <c r="D5" s="10" t="n">
        <v>3750000</v>
      </c>
      <c r="E5" s="10" t="n">
        <v>2500</v>
      </c>
      <c r="F5" s="11" t="n"/>
      <c r="G5" s="11" t="n"/>
    </row>
    <row r="6" ht="22" customHeight="1">
      <c r="A6" s="16" t="inlineStr">
        <is>
          <t>TOTAL INGRESOS</t>
        </is>
      </c>
      <c r="D6" s="17">
        <f>SUM(D5:D5)</f>
        <v/>
      </c>
      <c r="E6" s="17">
        <f>SUM(E5:E5)</f>
        <v/>
      </c>
      <c r="F6" s="18" t="n"/>
      <c r="G6" s="18" t="n"/>
    </row>
    <row r="7" ht="8" customHeight="1">
      <c r="A7" s="19" t="n"/>
      <c r="B7" s="19" t="n"/>
      <c r="C7" s="19" t="n"/>
      <c r="D7" s="19" t="n"/>
      <c r="E7" s="19" t="n"/>
      <c r="F7" s="19" t="n"/>
      <c r="G7" s="19" t="n"/>
    </row>
    <row r="8" ht="24" customHeight="1">
      <c r="A8" s="20" t="inlineStr">
        <is>
          <t>▼ EGRESOS FIJOS</t>
        </is>
      </c>
    </row>
    <row r="9" ht="20" customHeight="1">
      <c r="A9" s="21" t="inlineStr">
        <is>
          <t>#</t>
        </is>
      </c>
      <c r="B9" s="21" t="inlineStr">
        <is>
          <t>Description</t>
        </is>
      </c>
      <c r="C9" s="21" t="inlineStr">
        <is>
          <t>ARS</t>
        </is>
      </c>
      <c r="D9" s="21" t="inlineStr">
        <is>
          <t>USD</t>
        </is>
      </c>
      <c r="E9" s="21" t="inlineStr">
        <is>
          <t>Status</t>
        </is>
      </c>
      <c r="F9" s="21" t="inlineStr"/>
      <c r="G9" s="21" t="inlineStr"/>
    </row>
    <row r="10" ht="18" customHeight="1">
      <c r="A10" s="8" t="n">
        <v>1</v>
      </c>
      <c r="B10" s="9" t="inlineStr">
        <is>
          <t>Swiss Dic</t>
        </is>
      </c>
      <c r="D10" s="10" t="n">
        <v>194000</v>
      </c>
      <c r="E10" s="10" t="n">
        <v>129.33</v>
      </c>
      <c r="F10" s="9" t="inlineStr"/>
      <c r="G10" s="11" t="n"/>
    </row>
    <row r="11" ht="18" customHeight="1">
      <c r="A11" s="12" t="n">
        <v>2</v>
      </c>
      <c r="B11" s="13" t="inlineStr">
        <is>
          <t>Olav Depto</t>
        </is>
      </c>
      <c r="D11" s="14" t="n">
        <v>150000</v>
      </c>
      <c r="E11" s="14" t="n">
        <v>100</v>
      </c>
      <c r="F11" s="13" t="inlineStr"/>
      <c r="G11" s="15" t="n"/>
    </row>
    <row r="12" ht="18" customHeight="1">
      <c r="A12" s="8" t="n">
        <v>3</v>
      </c>
      <c r="B12" s="9" t="inlineStr">
        <is>
          <t>Gym Ohana</t>
        </is>
      </c>
      <c r="D12" s="10" t="n">
        <v>34000</v>
      </c>
      <c r="E12" s="10" t="n">
        <v>22.67</v>
      </c>
      <c r="F12" s="9" t="inlineStr"/>
      <c r="G12" s="11" t="n"/>
    </row>
    <row r="13" ht="18" customHeight="1">
      <c r="A13" s="12" t="n">
        <v>4</v>
      </c>
      <c r="B13" s="13" t="inlineStr">
        <is>
          <t>Psico Anab</t>
        </is>
      </c>
      <c r="D13" s="14" t="n">
        <v>30000</v>
      </c>
      <c r="E13" s="14" t="n">
        <v>20</v>
      </c>
      <c r="F13" s="13" t="inlineStr"/>
      <c r="G13" s="15" t="n"/>
    </row>
    <row r="14" ht="18" customHeight="1">
      <c r="A14" s="8" t="n">
        <v>5</v>
      </c>
      <c r="B14" s="9" t="inlineStr">
        <is>
          <t>Monotributo</t>
        </is>
      </c>
      <c r="D14" s="10" t="n">
        <v>50000</v>
      </c>
      <c r="E14" s="10" t="n">
        <v>33.33</v>
      </c>
      <c r="F14" s="9" t="inlineStr"/>
      <c r="G14" s="11" t="n"/>
    </row>
    <row r="15" ht="18" customHeight="1">
      <c r="A15" s="12" t="n">
        <v>6</v>
      </c>
      <c r="B15" s="13" t="inlineStr">
        <is>
          <t>Contadora</t>
        </is>
      </c>
      <c r="D15" s="14" t="n">
        <v>32000</v>
      </c>
      <c r="E15" s="14" t="n">
        <v>21.33</v>
      </c>
      <c r="F15" s="13" t="inlineStr"/>
      <c r="G15" s="15" t="n"/>
    </row>
    <row r="16" ht="18" customHeight="1">
      <c r="A16" s="8" t="n">
        <v>7</v>
      </c>
      <c r="B16" s="9" t="inlineStr">
        <is>
          <t>Internet</t>
        </is>
      </c>
      <c r="D16" s="10" t="n">
        <v>26000</v>
      </c>
      <c r="E16" s="10" t="n">
        <v>17.33</v>
      </c>
      <c r="F16" s="9" t="inlineStr"/>
      <c r="G16" s="11" t="n"/>
    </row>
    <row r="17" ht="18" customHeight="1">
      <c r="A17" s="12" t="n">
        <v>8</v>
      </c>
      <c r="B17" s="13" t="inlineStr">
        <is>
          <t>Bubalo Tragos</t>
        </is>
      </c>
      <c r="D17" s="14" t="n">
        <v>46000</v>
      </c>
      <c r="E17" s="14" t="n">
        <v>30.67</v>
      </c>
      <c r="F17" s="13" t="inlineStr"/>
      <c r="G17" s="15" t="n"/>
    </row>
    <row r="18" ht="18" customHeight="1">
      <c r="A18" s="8" t="n">
        <v>9</v>
      </c>
      <c r="B18" s="9" t="inlineStr">
        <is>
          <t>Bubalo Entrada</t>
        </is>
      </c>
      <c r="D18" s="10" t="n">
        <v>25000</v>
      </c>
      <c r="E18" s="10" t="n">
        <v>16.67</v>
      </c>
      <c r="F18" s="9" t="inlineStr"/>
      <c r="G18" s="11" t="n"/>
    </row>
    <row r="19" ht="18" customHeight="1">
      <c r="A19" s="12" t="n">
        <v>10</v>
      </c>
      <c r="B19" s="13" t="inlineStr">
        <is>
          <t>Pastillas</t>
        </is>
      </c>
      <c r="D19" s="14" t="n">
        <v>39000</v>
      </c>
      <c r="E19" s="14" t="n">
        <v>26</v>
      </c>
      <c r="F19" s="13" t="inlineStr"/>
      <c r="G19" s="15" t="n"/>
    </row>
    <row r="20" ht="22" customHeight="1">
      <c r="A20" s="16" t="inlineStr">
        <is>
          <t>TOTAL FIJOS</t>
        </is>
      </c>
      <c r="D20" s="17">
        <f>SUM(D10:D19)</f>
        <v/>
      </c>
      <c r="E20" s="17">
        <f>SUM(E10:E19)</f>
        <v/>
      </c>
      <c r="F20" s="18" t="n"/>
      <c r="G20" s="18" t="n"/>
    </row>
    <row r="21" ht="8" customHeight="1">
      <c r="A21" s="19" t="n"/>
      <c r="B21" s="19" t="n"/>
      <c r="C21" s="19" t="n"/>
      <c r="D21" s="19" t="n"/>
      <c r="E21" s="19" t="n"/>
      <c r="F21" s="19" t="n"/>
      <c r="G21" s="19" t="n"/>
    </row>
    <row r="22" ht="24" customHeight="1">
      <c r="A22" s="22" t="inlineStr">
        <is>
          <t>📋 GASTOS DEL MES</t>
        </is>
      </c>
    </row>
    <row r="23" ht="20" customHeight="1">
      <c r="A23" s="23" t="inlineStr">
        <is>
          <t>#</t>
        </is>
      </c>
      <c r="B23" s="23" t="inlineStr">
        <is>
          <t>Date</t>
        </is>
      </c>
      <c r="C23" s="23" t="inlineStr">
        <is>
          <t>Description</t>
        </is>
      </c>
      <c r="D23" s="23" t="inlineStr">
        <is>
          <t>ARS</t>
        </is>
      </c>
      <c r="E23" s="23" t="inlineStr">
        <is>
          <t>USD</t>
        </is>
      </c>
      <c r="F23" s="23" t="inlineStr">
        <is>
          <t>Category</t>
        </is>
      </c>
      <c r="G23" s="23" t="inlineStr">
        <is>
          <t>Payment</t>
        </is>
      </c>
    </row>
    <row r="24" ht="18" customHeight="1">
      <c r="A24" s="8" t="n">
        <v>1</v>
      </c>
      <c r="B24" s="8" t="inlineStr">
        <is>
          <t>02</t>
        </is>
      </c>
      <c r="C24" s="9" t="inlineStr">
        <is>
          <t>Compra ML Journal</t>
        </is>
      </c>
      <c r="D24" s="10" t="n">
        <v>40000</v>
      </c>
      <c r="E24" s="10">
        <f>IF(D24&gt;0,D24/B$2,"")</f>
        <v/>
      </c>
      <c r="F24" s="9" t="inlineStr"/>
      <c r="G24" s="9" t="inlineStr"/>
    </row>
    <row r="25" ht="18" customHeight="1">
      <c r="A25" s="25" t="n"/>
      <c r="B25" s="25" t="n"/>
      <c r="C25" s="25" t="n"/>
      <c r="D25" s="25" t="n"/>
      <c r="E25" s="25" t="n"/>
      <c r="F25" s="25" t="n"/>
      <c r="G25" s="25" t="n"/>
    </row>
    <row r="26" ht="18" customHeight="1">
      <c r="A26" s="24" t="n"/>
      <c r="B26" s="24" t="n"/>
      <c r="C26" s="24" t="n"/>
      <c r="D26" s="24" t="n"/>
      <c r="E26" s="24" t="n"/>
      <c r="F26" s="24" t="n"/>
      <c r="G26" s="24" t="n"/>
    </row>
    <row r="27" ht="18" customHeight="1">
      <c r="A27" s="25" t="n"/>
      <c r="B27" s="25" t="n"/>
      <c r="C27" s="25" t="n"/>
      <c r="D27" s="25" t="n"/>
      <c r="E27" s="25" t="n"/>
      <c r="F27" s="25" t="n"/>
      <c r="G27" s="25" t="n"/>
    </row>
    <row r="28" ht="18" customHeight="1">
      <c r="A28" s="24" t="n"/>
      <c r="B28" s="24" t="n"/>
      <c r="C28" s="24" t="n"/>
      <c r="D28" s="24" t="n"/>
      <c r="E28" s="24" t="n"/>
      <c r="F28" s="24" t="n"/>
      <c r="G28" s="24" t="n"/>
    </row>
    <row r="29" ht="18" customHeight="1">
      <c r="A29" s="25" t="n"/>
      <c r="B29" s="25" t="n"/>
      <c r="C29" s="25" t="n"/>
      <c r="D29" s="25" t="n"/>
      <c r="E29" s="25" t="n"/>
      <c r="F29" s="25" t="n"/>
      <c r="G29" s="25" t="n"/>
    </row>
    <row r="30" ht="18" customHeight="1">
      <c r="A30" s="24" t="n"/>
      <c r="B30" s="24" t="n"/>
      <c r="C30" s="24" t="n"/>
      <c r="D30" s="24" t="n"/>
      <c r="E30" s="24" t="n"/>
      <c r="F30" s="24" t="n"/>
      <c r="G30" s="24" t="n"/>
    </row>
    <row r="31" ht="18" customHeight="1">
      <c r="A31" s="25" t="n"/>
      <c r="B31" s="25" t="n"/>
      <c r="C31" s="25" t="n"/>
      <c r="D31" s="25" t="n"/>
      <c r="E31" s="25" t="n"/>
      <c r="F31" s="25" t="n"/>
      <c r="G31" s="25" t="n"/>
    </row>
    <row r="32" ht="18" customHeight="1">
      <c r="A32" s="24" t="n"/>
      <c r="B32" s="24" t="n"/>
      <c r="C32" s="24" t="n"/>
      <c r="D32" s="24" t="n"/>
      <c r="E32" s="24" t="n"/>
      <c r="F32" s="24" t="n"/>
      <c r="G32" s="24" t="n"/>
    </row>
    <row r="33" ht="18" customHeight="1">
      <c r="A33" s="25" t="n"/>
      <c r="B33" s="25" t="n"/>
      <c r="C33" s="25" t="n"/>
      <c r="D33" s="25" t="n"/>
      <c r="E33" s="25" t="n"/>
      <c r="F33" s="25" t="n"/>
      <c r="G33" s="25" t="n"/>
    </row>
    <row r="34" ht="18" customHeight="1">
      <c r="A34" s="24" t="n"/>
      <c r="B34" s="24" t="n"/>
      <c r="C34" s="24" t="n"/>
      <c r="D34" s="24" t="n"/>
      <c r="E34" s="24" t="n"/>
      <c r="F34" s="24" t="n"/>
      <c r="G34" s="24" t="n"/>
    </row>
    <row r="35" ht="18" customHeight="1">
      <c r="A35" s="25" t="n"/>
      <c r="B35" s="25" t="n"/>
      <c r="C35" s="25" t="n"/>
      <c r="D35" s="25" t="n"/>
      <c r="E35" s="25" t="n"/>
      <c r="F35" s="25" t="n"/>
      <c r="G35" s="25" t="n"/>
    </row>
    <row r="36" ht="18" customHeight="1">
      <c r="A36" s="24" t="n"/>
      <c r="B36" s="24" t="n"/>
      <c r="C36" s="24" t="n"/>
      <c r="D36" s="24" t="n"/>
      <c r="E36" s="24" t="n"/>
      <c r="F36" s="24" t="n"/>
      <c r="G36" s="24" t="n"/>
    </row>
    <row r="37" ht="18" customHeight="1">
      <c r="A37" s="25" t="n"/>
      <c r="B37" s="25" t="n"/>
      <c r="C37" s="25" t="n"/>
      <c r="D37" s="25" t="n"/>
      <c r="E37" s="25" t="n"/>
      <c r="F37" s="25" t="n"/>
      <c r="G37" s="25" t="n"/>
    </row>
    <row r="38" ht="18" customHeight="1">
      <c r="A38" s="24" t="n"/>
      <c r="B38" s="24" t="n"/>
      <c r="C38" s="24" t="n"/>
      <c r="D38" s="24" t="n"/>
      <c r="E38" s="24" t="n"/>
      <c r="F38" s="24" t="n"/>
      <c r="G38" s="24" t="n"/>
    </row>
    <row r="39" ht="18" customHeight="1">
      <c r="A39" s="25" t="n"/>
      <c r="B39" s="25" t="n"/>
      <c r="C39" s="25" t="n"/>
      <c r="D39" s="25" t="n"/>
      <c r="E39" s="25" t="n"/>
      <c r="F39" s="25" t="n"/>
      <c r="G39" s="25" t="n"/>
    </row>
    <row r="40" ht="18" customHeight="1">
      <c r="A40" s="24" t="n"/>
      <c r="B40" s="24" t="n"/>
      <c r="C40" s="24" t="n"/>
      <c r="D40" s="24" t="n"/>
      <c r="E40" s="24" t="n"/>
      <c r="F40" s="24" t="n"/>
      <c r="G40" s="24" t="n"/>
    </row>
    <row r="41" ht="18" customHeight="1">
      <c r="A41" s="25" t="n"/>
      <c r="B41" s="25" t="n"/>
      <c r="C41" s="25" t="n"/>
      <c r="D41" s="25" t="n"/>
      <c r="E41" s="25" t="n"/>
      <c r="F41" s="25" t="n"/>
      <c r="G41" s="25" t="n"/>
    </row>
    <row r="42" ht="18" customHeight="1">
      <c r="A42" s="24" t="n"/>
      <c r="B42" s="24" t="n"/>
      <c r="C42" s="24" t="n"/>
      <c r="D42" s="24" t="n"/>
      <c r="E42" s="24" t="n"/>
      <c r="F42" s="24" t="n"/>
      <c r="G42" s="24" t="n"/>
    </row>
    <row r="43" ht="18" customHeight="1">
      <c r="A43" s="25" t="n"/>
      <c r="B43" s="25" t="n"/>
      <c r="C43" s="25" t="n"/>
      <c r="D43" s="25" t="n"/>
      <c r="E43" s="25" t="n"/>
      <c r="F43" s="25" t="n"/>
      <c r="G43" s="25" t="n"/>
    </row>
    <row r="44" ht="18" customHeight="1">
      <c r="A44" s="24" t="n"/>
      <c r="B44" s="24" t="n"/>
      <c r="C44" s="24" t="n"/>
      <c r="D44" s="24" t="n"/>
      <c r="E44" s="24" t="n"/>
      <c r="F44" s="24" t="n"/>
      <c r="G44" s="24" t="n"/>
    </row>
    <row r="45" ht="18" customHeight="1">
      <c r="A45" s="25" t="n"/>
      <c r="B45" s="25" t="n"/>
      <c r="C45" s="25" t="n"/>
      <c r="D45" s="25" t="n"/>
      <c r="E45" s="25" t="n"/>
      <c r="F45" s="25" t="n"/>
      <c r="G45" s="25" t="n"/>
    </row>
    <row r="46" ht="18" customHeight="1">
      <c r="A46" s="24" t="n"/>
      <c r="B46" s="24" t="n"/>
      <c r="C46" s="24" t="n"/>
      <c r="D46" s="24" t="n"/>
      <c r="E46" s="24" t="n"/>
      <c r="F46" s="24" t="n"/>
      <c r="G46" s="24" t="n"/>
    </row>
    <row r="47" ht="18" customHeight="1">
      <c r="A47" s="25" t="n"/>
      <c r="B47" s="25" t="n"/>
      <c r="C47" s="25" t="n"/>
      <c r="D47" s="25" t="n"/>
      <c r="E47" s="25" t="n"/>
      <c r="F47" s="25" t="n"/>
      <c r="G47" s="25" t="n"/>
    </row>
    <row r="48" ht="18" customHeight="1">
      <c r="A48" s="24" t="n"/>
      <c r="B48" s="24" t="n"/>
      <c r="C48" s="24" t="n"/>
      <c r="D48" s="24" t="n"/>
      <c r="E48" s="24" t="n"/>
      <c r="F48" s="24" t="n"/>
      <c r="G48" s="24" t="n"/>
    </row>
    <row r="49" ht="22" customHeight="1">
      <c r="A49" s="16" t="inlineStr">
        <is>
          <t>TOTAL VARIABLE</t>
        </is>
      </c>
      <c r="D49" s="17">
        <f>SUM(D24:D48)</f>
        <v/>
      </c>
      <c r="E49" s="17">
        <f>SUM(E24:E48)</f>
        <v/>
      </c>
      <c r="F49" s="18" t="n"/>
      <c r="G49" s="18" t="n"/>
    </row>
    <row r="50" ht="8" customHeight="1">
      <c r="A50" s="19" t="n"/>
      <c r="B50" s="19" t="n"/>
      <c r="C50" s="19" t="n"/>
      <c r="D50" s="19" t="n"/>
      <c r="E50" s="19" t="n"/>
      <c r="F50" s="19" t="n"/>
      <c r="G50" s="19" t="n"/>
    </row>
    <row r="51" ht="26" customHeight="1">
      <c r="A51" s="26" t="inlineStr">
        <is>
          <t>💰 BALANCE</t>
        </is>
      </c>
      <c r="D51" s="27">
        <f>D6-D20-D49</f>
        <v/>
      </c>
      <c r="E51" s="27">
        <f>E6-E20-E49</f>
        <v/>
      </c>
      <c r="F51" s="28" t="n"/>
      <c r="G51" s="28" t="n"/>
    </row>
  </sheetData>
  <mergeCells count="19">
    <mergeCell ref="B16:C16"/>
    <mergeCell ref="A8:G8"/>
    <mergeCell ref="A22:G22"/>
    <mergeCell ref="B18:C18"/>
    <mergeCell ref="B12:C12"/>
    <mergeCell ref="B11:C11"/>
    <mergeCell ref="B14:C14"/>
    <mergeCell ref="B17:C17"/>
    <mergeCell ref="A20:C20"/>
    <mergeCell ref="B13:C13"/>
    <mergeCell ref="A1:G1"/>
    <mergeCell ref="B19:C19"/>
    <mergeCell ref="B10:C10"/>
    <mergeCell ref="A51:C51"/>
    <mergeCell ref="A49:C49"/>
    <mergeCell ref="B15:C15"/>
    <mergeCell ref="A3:G3"/>
    <mergeCell ref="A6:C6"/>
    <mergeCell ref="A2"/>
  </mergeCells>
  <dataValidations count="3">
    <dataValidation sqref="F24:F48" showDropDown="0" showInputMessage="0" showErrorMessage="0" allowBlank="1" type="list">
      <formula1>"Food,Transport,Health,Utilities,Entertainment,Tax,Savings,Big Buy,Personal,Other"</formula1>
    </dataValidation>
    <dataValidation sqref="G24:G48" showDropDown="0" showInputMessage="0" showErrorMessage="0" allowBlank="1" type="list">
      <formula1>"Cash ARS,USD Cash,Wise,Binance,MercadoPago,Tarjeta"</formula1>
    </dataValidation>
    <dataValidation sqref="E10:E19" showDropDown="0" showInputMessage="0" showErrorMessage="0" allowBlank="1" type="list">
      <formula1>"Pagado,Pendiente,Auto"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2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 ht="30" customHeight="1">
      <c r="A1" s="1" t="inlineStr">
        <is>
          <t>💸 APR 2026 — GASTOS MENSUALES</t>
        </is>
      </c>
    </row>
    <row r="2" ht="22" customHeight="1">
      <c r="A2" s="2" t="inlineStr">
        <is>
          <t>USD/ARS</t>
        </is>
      </c>
      <c r="B2" s="3" t="n">
        <v>1500</v>
      </c>
      <c r="C2" s="4" t="inlineStr">
        <is>
          <t>← update monthly</t>
        </is>
      </c>
      <c r="D2" s="5" t="n"/>
      <c r="E2" s="5" t="n"/>
      <c r="F2" s="5" t="n"/>
      <c r="G2" s="5" t="n"/>
    </row>
    <row r="3" ht="24" customHeight="1">
      <c r="A3" s="6" t="inlineStr">
        <is>
          <t>▲ INGRESOS</t>
        </is>
      </c>
    </row>
    <row r="4" ht="20" customHeight="1">
      <c r="A4" s="7" t="inlineStr">
        <is>
          <t>#</t>
        </is>
      </c>
      <c r="B4" s="7" t="inlineStr">
        <is>
          <t>Source</t>
        </is>
      </c>
      <c r="C4" s="7" t="inlineStr">
        <is>
          <t>Description</t>
        </is>
      </c>
      <c r="D4" s="7" t="inlineStr">
        <is>
          <t>ARS</t>
        </is>
      </c>
      <c r="E4" s="7" t="inlineStr">
        <is>
          <t>USD</t>
        </is>
      </c>
    </row>
    <row r="5" ht="18" customHeight="1">
      <c r="A5" s="8" t="n">
        <v>1</v>
      </c>
      <c r="B5" s="9" t="inlineStr"/>
      <c r="C5" s="9" t="inlineStr">
        <is>
          <t>Basecoat</t>
        </is>
      </c>
      <c r="D5" s="10" t="n">
        <v>3750000</v>
      </c>
      <c r="E5" s="10" t="n">
        <v>2500</v>
      </c>
      <c r="F5" s="11" t="n"/>
      <c r="G5" s="11" t="n"/>
    </row>
    <row r="6" ht="22" customHeight="1">
      <c r="A6" s="16" t="inlineStr">
        <is>
          <t>TOTAL INGRESOS</t>
        </is>
      </c>
      <c r="D6" s="17">
        <f>SUM(D5:D5)</f>
        <v/>
      </c>
      <c r="E6" s="17">
        <f>SUM(E5:E5)</f>
        <v/>
      </c>
      <c r="F6" s="18" t="n"/>
      <c r="G6" s="18" t="n"/>
    </row>
    <row r="7" ht="8" customHeight="1">
      <c r="A7" s="19" t="n"/>
      <c r="B7" s="19" t="n"/>
      <c r="C7" s="19" t="n"/>
      <c r="D7" s="19" t="n"/>
      <c r="E7" s="19" t="n"/>
      <c r="F7" s="19" t="n"/>
      <c r="G7" s="19" t="n"/>
    </row>
    <row r="8" ht="24" customHeight="1">
      <c r="A8" s="20" t="inlineStr">
        <is>
          <t>▼ EGRESOS FIJOS</t>
        </is>
      </c>
    </row>
    <row r="9" ht="20" customHeight="1">
      <c r="A9" s="21" t="inlineStr">
        <is>
          <t>#</t>
        </is>
      </c>
      <c r="B9" s="21" t="inlineStr">
        <is>
          <t>Description</t>
        </is>
      </c>
      <c r="C9" s="21" t="inlineStr">
        <is>
          <t>ARS</t>
        </is>
      </c>
      <c r="D9" s="21" t="inlineStr">
        <is>
          <t>USD</t>
        </is>
      </c>
      <c r="E9" s="21" t="inlineStr">
        <is>
          <t>Status</t>
        </is>
      </c>
      <c r="F9" s="21" t="inlineStr"/>
      <c r="G9" s="21" t="inlineStr"/>
    </row>
    <row r="10" ht="18" customHeight="1">
      <c r="A10" s="8" t="n">
        <v>1</v>
      </c>
      <c r="B10" s="9" t="inlineStr">
        <is>
          <t>Swiss Dic</t>
        </is>
      </c>
      <c r="D10" s="10" t="n">
        <v>194000</v>
      </c>
      <c r="E10" s="10" t="n">
        <v>129.33</v>
      </c>
      <c r="F10" s="9" t="inlineStr"/>
      <c r="G10" s="11" t="n"/>
    </row>
    <row r="11" ht="18" customHeight="1">
      <c r="A11" s="12" t="n">
        <v>2</v>
      </c>
      <c r="B11" s="13" t="inlineStr">
        <is>
          <t>Olav Depto</t>
        </is>
      </c>
      <c r="D11" s="14" t="n">
        <v>150000</v>
      </c>
      <c r="E11" s="14" t="n">
        <v>100</v>
      </c>
      <c r="F11" s="13" t="inlineStr"/>
      <c r="G11" s="15" t="n"/>
    </row>
    <row r="12" ht="18" customHeight="1">
      <c r="A12" s="8" t="n">
        <v>3</v>
      </c>
      <c r="B12" s="9" t="inlineStr">
        <is>
          <t>Gym Ohana</t>
        </is>
      </c>
      <c r="D12" s="10" t="n">
        <v>34000</v>
      </c>
      <c r="E12" s="10" t="n">
        <v>22.67</v>
      </c>
      <c r="F12" s="9" t="inlineStr"/>
      <c r="G12" s="11" t="n"/>
    </row>
    <row r="13" ht="18" customHeight="1">
      <c r="A13" s="12" t="n">
        <v>4</v>
      </c>
      <c r="B13" s="13" t="inlineStr">
        <is>
          <t>Psico Anab</t>
        </is>
      </c>
      <c r="D13" s="14" t="n">
        <v>30000</v>
      </c>
      <c r="E13" s="14" t="n">
        <v>20</v>
      </c>
      <c r="F13" s="13" t="inlineStr"/>
      <c r="G13" s="15" t="n"/>
    </row>
    <row r="14" ht="18" customHeight="1">
      <c r="A14" s="8" t="n">
        <v>5</v>
      </c>
      <c r="B14" s="9" t="inlineStr">
        <is>
          <t>Monotributo</t>
        </is>
      </c>
      <c r="D14" s="10" t="n">
        <v>50000</v>
      </c>
      <c r="E14" s="10" t="n">
        <v>33.33</v>
      </c>
      <c r="F14" s="9" t="inlineStr"/>
      <c r="G14" s="11" t="n"/>
    </row>
    <row r="15" ht="18" customHeight="1">
      <c r="A15" s="12" t="n">
        <v>6</v>
      </c>
      <c r="B15" s="13" t="inlineStr">
        <is>
          <t>Contadora</t>
        </is>
      </c>
      <c r="D15" s="14" t="n">
        <v>32000</v>
      </c>
      <c r="E15" s="14" t="n">
        <v>21.33</v>
      </c>
      <c r="F15" s="13" t="inlineStr"/>
      <c r="G15" s="15" t="n"/>
    </row>
    <row r="16" ht="18" customHeight="1">
      <c r="A16" s="8" t="n">
        <v>7</v>
      </c>
      <c r="B16" s="9" t="inlineStr">
        <is>
          <t>Psic Cognitivo</t>
        </is>
      </c>
      <c r="D16" s="10" t="n">
        <v>70000</v>
      </c>
      <c r="E16" s="10" t="n">
        <v>46.67</v>
      </c>
      <c r="F16" s="9" t="inlineStr"/>
      <c r="G16" s="11" t="n"/>
    </row>
    <row r="17" ht="18" customHeight="1">
      <c r="A17" s="12" t="n">
        <v>8</v>
      </c>
      <c r="B17" s="13" t="inlineStr">
        <is>
          <t>Internet</t>
        </is>
      </c>
      <c r="D17" s="14" t="n">
        <v>26000</v>
      </c>
      <c r="E17" s="14" t="n">
        <v>17.33</v>
      </c>
      <c r="F17" s="13" t="inlineStr"/>
      <c r="G17" s="15" t="n"/>
    </row>
    <row r="18" ht="18" customHeight="1">
      <c r="A18" s="8" t="n">
        <v>9</v>
      </c>
      <c r="B18" s="9" t="inlineStr">
        <is>
          <t>Bubalo Tragos</t>
        </is>
      </c>
      <c r="D18" s="10" t="n">
        <v>46000</v>
      </c>
      <c r="E18" s="10" t="n">
        <v>30.67</v>
      </c>
      <c r="F18" s="9" t="inlineStr"/>
      <c r="G18" s="11" t="n"/>
    </row>
    <row r="19" ht="18" customHeight="1">
      <c r="A19" s="12" t="n">
        <v>10</v>
      </c>
      <c r="B19" s="13" t="inlineStr">
        <is>
          <t>Bubalo Entrada</t>
        </is>
      </c>
      <c r="D19" s="14" t="n">
        <v>25000</v>
      </c>
      <c r="E19" s="14" t="n">
        <v>16.67</v>
      </c>
      <c r="F19" s="13" t="inlineStr"/>
      <c r="G19" s="15" t="n"/>
    </row>
    <row r="20" ht="18" customHeight="1">
      <c r="A20" s="8" t="n">
        <v>11</v>
      </c>
      <c r="B20" s="9" t="inlineStr">
        <is>
          <t>Pastillas</t>
        </is>
      </c>
      <c r="D20" s="10" t="n">
        <v>39000</v>
      </c>
      <c r="E20" s="10" t="n">
        <v>26</v>
      </c>
      <c r="F20" s="9" t="inlineStr"/>
      <c r="G20" s="11" t="n"/>
    </row>
    <row r="21" ht="18" customHeight="1">
      <c r="A21" s="12" t="n">
        <v>12</v>
      </c>
      <c r="B21" s="13" t="inlineStr">
        <is>
          <t>Gastos Abril</t>
        </is>
      </c>
      <c r="D21" s="14" t="n">
        <v>2200000</v>
      </c>
      <c r="E21" s="14" t="n">
        <v>1466.67</v>
      </c>
      <c r="F21" s="13" t="inlineStr"/>
      <c r="G21" s="15" t="n"/>
    </row>
    <row r="22" ht="22" customHeight="1">
      <c r="A22" s="16" t="inlineStr">
        <is>
          <t>TOTAL FIJOS</t>
        </is>
      </c>
      <c r="D22" s="17">
        <f>SUM(D10:D21)</f>
        <v/>
      </c>
      <c r="E22" s="17">
        <f>SUM(E10:E21)</f>
        <v/>
      </c>
      <c r="F22" s="18" t="n"/>
      <c r="G22" s="18" t="n"/>
    </row>
    <row r="23" ht="8" customHeight="1">
      <c r="A23" s="19" t="n"/>
      <c r="B23" s="19" t="n"/>
      <c r="C23" s="19" t="n"/>
      <c r="D23" s="19" t="n"/>
      <c r="E23" s="19" t="n"/>
      <c r="F23" s="19" t="n"/>
      <c r="G23" s="19" t="n"/>
    </row>
    <row r="24" ht="24" customHeight="1">
      <c r="A24" s="22" t="inlineStr">
        <is>
          <t>📋 GASTOS DEL MES</t>
        </is>
      </c>
    </row>
    <row r="25" ht="20" customHeight="1">
      <c r="A25" s="23" t="inlineStr">
        <is>
          <t>#</t>
        </is>
      </c>
      <c r="B25" s="23" t="inlineStr">
        <is>
          <t>Date</t>
        </is>
      </c>
      <c r="C25" s="23" t="inlineStr">
        <is>
          <t>Description</t>
        </is>
      </c>
      <c r="D25" s="23" t="inlineStr">
        <is>
          <t>ARS</t>
        </is>
      </c>
      <c r="E25" s="23" t="inlineStr">
        <is>
          <t>USD</t>
        </is>
      </c>
      <c r="F25" s="23" t="inlineStr">
        <is>
          <t>Category</t>
        </is>
      </c>
      <c r="G25" s="23" t="inlineStr">
        <is>
          <t>Payment</t>
        </is>
      </c>
    </row>
    <row r="26" ht="18" customHeight="1">
      <c r="A26" s="8" t="n">
        <v>1</v>
      </c>
      <c r="B26" s="8" t="inlineStr">
        <is>
          <t>02</t>
        </is>
      </c>
      <c r="C26" s="9" t="inlineStr">
        <is>
          <t>Compra ML Journal</t>
        </is>
      </c>
      <c r="D26" s="10" t="n">
        <v>40000</v>
      </c>
      <c r="E26" s="10">
        <f>IF(D26&gt;0,D26/B$2,"")</f>
        <v/>
      </c>
      <c r="F26" s="9" t="inlineStr"/>
      <c r="G26" s="9" t="inlineStr"/>
    </row>
    <row r="27" ht="18" customHeight="1">
      <c r="A27" s="25" t="n"/>
      <c r="B27" s="25" t="n"/>
      <c r="C27" s="25" t="n"/>
      <c r="D27" s="25" t="n"/>
      <c r="E27" s="25" t="n"/>
      <c r="F27" s="25" t="n"/>
      <c r="G27" s="25" t="n"/>
    </row>
    <row r="28" ht="18" customHeight="1">
      <c r="A28" s="24" t="n"/>
      <c r="B28" s="24" t="n"/>
      <c r="C28" s="24" t="n"/>
      <c r="D28" s="24" t="n"/>
      <c r="E28" s="24" t="n"/>
      <c r="F28" s="24" t="n"/>
      <c r="G28" s="24" t="n"/>
    </row>
    <row r="29" ht="18" customHeight="1">
      <c r="A29" s="25" t="n"/>
      <c r="B29" s="25" t="n"/>
      <c r="C29" s="25" t="n"/>
      <c r="D29" s="25" t="n"/>
      <c r="E29" s="25" t="n"/>
      <c r="F29" s="25" t="n"/>
      <c r="G29" s="25" t="n"/>
    </row>
    <row r="30" ht="18" customHeight="1">
      <c r="A30" s="24" t="n"/>
      <c r="B30" s="24" t="n"/>
      <c r="C30" s="24" t="n"/>
      <c r="D30" s="24" t="n"/>
      <c r="E30" s="24" t="n"/>
      <c r="F30" s="24" t="n"/>
      <c r="G30" s="24" t="n"/>
    </row>
    <row r="31" ht="18" customHeight="1">
      <c r="A31" s="25" t="n"/>
      <c r="B31" s="25" t="n"/>
      <c r="C31" s="25" t="n"/>
      <c r="D31" s="25" t="n"/>
      <c r="E31" s="25" t="n"/>
      <c r="F31" s="25" t="n"/>
      <c r="G31" s="25" t="n"/>
    </row>
    <row r="32" ht="18" customHeight="1">
      <c r="A32" s="24" t="n"/>
      <c r="B32" s="24" t="n"/>
      <c r="C32" s="24" t="n"/>
      <c r="D32" s="24" t="n"/>
      <c r="E32" s="24" t="n"/>
      <c r="F32" s="24" t="n"/>
      <c r="G32" s="24" t="n"/>
    </row>
    <row r="33" ht="18" customHeight="1">
      <c r="A33" s="25" t="n"/>
      <c r="B33" s="25" t="n"/>
      <c r="C33" s="25" t="n"/>
      <c r="D33" s="25" t="n"/>
      <c r="E33" s="25" t="n"/>
      <c r="F33" s="25" t="n"/>
      <c r="G33" s="25" t="n"/>
    </row>
    <row r="34" ht="18" customHeight="1">
      <c r="A34" s="24" t="n"/>
      <c r="B34" s="24" t="n"/>
      <c r="C34" s="24" t="n"/>
      <c r="D34" s="24" t="n"/>
      <c r="E34" s="24" t="n"/>
      <c r="F34" s="24" t="n"/>
      <c r="G34" s="24" t="n"/>
    </row>
    <row r="35" ht="18" customHeight="1">
      <c r="A35" s="25" t="n"/>
      <c r="B35" s="25" t="n"/>
      <c r="C35" s="25" t="n"/>
      <c r="D35" s="25" t="n"/>
      <c r="E35" s="25" t="n"/>
      <c r="F35" s="25" t="n"/>
      <c r="G35" s="25" t="n"/>
    </row>
    <row r="36" ht="18" customHeight="1">
      <c r="A36" s="24" t="n"/>
      <c r="B36" s="24" t="n"/>
      <c r="C36" s="24" t="n"/>
      <c r="D36" s="24" t="n"/>
      <c r="E36" s="24" t="n"/>
      <c r="F36" s="24" t="n"/>
      <c r="G36" s="24" t="n"/>
    </row>
    <row r="37" ht="18" customHeight="1">
      <c r="A37" s="25" t="n"/>
      <c r="B37" s="25" t="n"/>
      <c r="C37" s="25" t="n"/>
      <c r="D37" s="25" t="n"/>
      <c r="E37" s="25" t="n"/>
      <c r="F37" s="25" t="n"/>
      <c r="G37" s="25" t="n"/>
    </row>
    <row r="38" ht="18" customHeight="1">
      <c r="A38" s="24" t="n"/>
      <c r="B38" s="24" t="n"/>
      <c r="C38" s="24" t="n"/>
      <c r="D38" s="24" t="n"/>
      <c r="E38" s="24" t="n"/>
      <c r="F38" s="24" t="n"/>
      <c r="G38" s="24" t="n"/>
    </row>
    <row r="39" ht="18" customHeight="1">
      <c r="A39" s="25" t="n"/>
      <c r="B39" s="25" t="n"/>
      <c r="C39" s="25" t="n"/>
      <c r="D39" s="25" t="n"/>
      <c r="E39" s="25" t="n"/>
      <c r="F39" s="25" t="n"/>
      <c r="G39" s="25" t="n"/>
    </row>
    <row r="40" ht="18" customHeight="1">
      <c r="A40" s="24" t="n"/>
      <c r="B40" s="24" t="n"/>
      <c r="C40" s="24" t="n"/>
      <c r="D40" s="24" t="n"/>
      <c r="E40" s="24" t="n"/>
      <c r="F40" s="24" t="n"/>
      <c r="G40" s="24" t="n"/>
    </row>
    <row r="41" ht="18" customHeight="1">
      <c r="A41" s="25" t="n"/>
      <c r="B41" s="25" t="n"/>
      <c r="C41" s="25" t="n"/>
      <c r="D41" s="25" t="n"/>
      <c r="E41" s="25" t="n"/>
      <c r="F41" s="25" t="n"/>
      <c r="G41" s="25" t="n"/>
    </row>
    <row r="42" ht="18" customHeight="1">
      <c r="A42" s="24" t="n"/>
      <c r="B42" s="24" t="n"/>
      <c r="C42" s="24" t="n"/>
      <c r="D42" s="24" t="n"/>
      <c r="E42" s="24" t="n"/>
      <c r="F42" s="24" t="n"/>
      <c r="G42" s="24" t="n"/>
    </row>
    <row r="43" ht="18" customHeight="1">
      <c r="A43" s="25" t="n"/>
      <c r="B43" s="25" t="n"/>
      <c r="C43" s="25" t="n"/>
      <c r="D43" s="25" t="n"/>
      <c r="E43" s="25" t="n"/>
      <c r="F43" s="25" t="n"/>
      <c r="G43" s="25" t="n"/>
    </row>
    <row r="44" ht="18" customHeight="1">
      <c r="A44" s="24" t="n"/>
      <c r="B44" s="24" t="n"/>
      <c r="C44" s="24" t="n"/>
      <c r="D44" s="24" t="n"/>
      <c r="E44" s="24" t="n"/>
      <c r="F44" s="24" t="n"/>
      <c r="G44" s="24" t="n"/>
    </row>
    <row r="45" ht="18" customHeight="1">
      <c r="A45" s="25" t="n"/>
      <c r="B45" s="25" t="n"/>
      <c r="C45" s="25" t="n"/>
      <c r="D45" s="25" t="n"/>
      <c r="E45" s="25" t="n"/>
      <c r="F45" s="25" t="n"/>
      <c r="G45" s="25" t="n"/>
    </row>
    <row r="46" ht="18" customHeight="1">
      <c r="A46" s="24" t="n"/>
      <c r="B46" s="24" t="n"/>
      <c r="C46" s="24" t="n"/>
      <c r="D46" s="24" t="n"/>
      <c r="E46" s="24" t="n"/>
      <c r="F46" s="24" t="n"/>
      <c r="G46" s="24" t="n"/>
    </row>
    <row r="47" ht="18" customHeight="1">
      <c r="A47" s="25" t="n"/>
      <c r="B47" s="25" t="n"/>
      <c r="C47" s="25" t="n"/>
      <c r="D47" s="25" t="n"/>
      <c r="E47" s="25" t="n"/>
      <c r="F47" s="25" t="n"/>
      <c r="G47" s="25" t="n"/>
    </row>
    <row r="48" ht="18" customHeight="1">
      <c r="A48" s="24" t="n"/>
      <c r="B48" s="24" t="n"/>
      <c r="C48" s="24" t="n"/>
      <c r="D48" s="24" t="n"/>
      <c r="E48" s="24" t="n"/>
      <c r="F48" s="24" t="n"/>
      <c r="G48" s="24" t="n"/>
    </row>
    <row r="49" ht="18" customHeight="1">
      <c r="A49" s="25" t="n"/>
      <c r="B49" s="25" t="n"/>
      <c r="C49" s="25" t="n"/>
      <c r="D49" s="25" t="n"/>
      <c r="E49" s="25" t="n"/>
      <c r="F49" s="25" t="n"/>
      <c r="G49" s="25" t="n"/>
    </row>
    <row r="50" ht="18" customHeight="1">
      <c r="A50" s="24" t="n"/>
      <c r="B50" s="24" t="n"/>
      <c r="C50" s="24" t="n"/>
      <c r="D50" s="24" t="n"/>
      <c r="E50" s="24" t="n"/>
      <c r="F50" s="24" t="n"/>
      <c r="G50" s="24" t="n"/>
    </row>
    <row r="51" ht="22" customHeight="1">
      <c r="A51" s="16" t="inlineStr">
        <is>
          <t>TOTAL VARIABLE</t>
        </is>
      </c>
      <c r="D51" s="17">
        <f>SUM(D26:D50)</f>
        <v/>
      </c>
      <c r="E51" s="17">
        <f>SUM(E26:E50)</f>
        <v/>
      </c>
      <c r="F51" s="18" t="n"/>
      <c r="G51" s="18" t="n"/>
    </row>
    <row r="52" ht="8" customHeight="1">
      <c r="A52" s="19" t="n"/>
      <c r="B52" s="19" t="n"/>
      <c r="C52" s="19" t="n"/>
      <c r="D52" s="19" t="n"/>
      <c r="E52" s="19" t="n"/>
      <c r="F52" s="19" t="n"/>
      <c r="G52" s="19" t="n"/>
    </row>
    <row r="53" ht="26" customHeight="1">
      <c r="A53" s="26" t="inlineStr">
        <is>
          <t>💰 BALANCE</t>
        </is>
      </c>
      <c r="D53" s="27">
        <f>D6-D22-D51</f>
        <v/>
      </c>
      <c r="E53" s="27">
        <f>E6-E22-E51</f>
        <v/>
      </c>
      <c r="F53" s="28" t="n"/>
      <c r="G53" s="28" t="n"/>
    </row>
  </sheetData>
  <mergeCells count="21">
    <mergeCell ref="B16:C16"/>
    <mergeCell ref="A8:G8"/>
    <mergeCell ref="B18:C18"/>
    <mergeCell ref="B12:C12"/>
    <mergeCell ref="B21:C21"/>
    <mergeCell ref="B11:C11"/>
    <mergeCell ref="A22:C22"/>
    <mergeCell ref="A24:G24"/>
    <mergeCell ref="B14:C14"/>
    <mergeCell ref="A53:C53"/>
    <mergeCell ref="B17:C17"/>
    <mergeCell ref="B13:C13"/>
    <mergeCell ref="A1:G1"/>
    <mergeCell ref="B19:C19"/>
    <mergeCell ref="B10:C10"/>
    <mergeCell ref="A51:C51"/>
    <mergeCell ref="B15:C15"/>
    <mergeCell ref="A3:G3"/>
    <mergeCell ref="B20:C20"/>
    <mergeCell ref="A6:C6"/>
    <mergeCell ref="A2"/>
  </mergeCells>
  <dataValidations count="3">
    <dataValidation sqref="F26:F50" showDropDown="0" showInputMessage="0" showErrorMessage="0" allowBlank="1" type="list">
      <formula1>"Food,Transport,Health,Utilities,Entertainment,Tax,Savings,Big Buy,Personal,Other"</formula1>
    </dataValidation>
    <dataValidation sqref="G26:G50" showDropDown="0" showInputMessage="0" showErrorMessage="0" allowBlank="1" type="list">
      <formula1>"Cash ARS,USD Cash,Wise,Binance,MercadoPago,Tarjeta"</formula1>
    </dataValidation>
    <dataValidation sqref="E10:E21" showDropDown="0" showInputMessage="0" showErrorMessage="0" allowBlank="1" type="list">
      <formula1>"Pagado,Pendiente,Auto"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2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 ht="30" customHeight="1">
      <c r="A1" s="1" t="inlineStr">
        <is>
          <t>💸 MAY 2026 — GASTOS MENSUALES</t>
        </is>
      </c>
    </row>
    <row r="2" ht="22" customHeight="1">
      <c r="A2" s="2" t="inlineStr">
        <is>
          <t>USD/ARS</t>
        </is>
      </c>
      <c r="B2" s="3" t="n">
        <v>1500</v>
      </c>
      <c r="C2" s="4" t="inlineStr">
        <is>
          <t>← update monthly</t>
        </is>
      </c>
      <c r="D2" s="5" t="n"/>
      <c r="E2" s="5" t="n"/>
      <c r="F2" s="5" t="n"/>
      <c r="G2" s="5" t="n"/>
    </row>
    <row r="3" ht="24" customHeight="1">
      <c r="A3" s="6" t="inlineStr">
        <is>
          <t>▲ INGRESOS</t>
        </is>
      </c>
    </row>
    <row r="4" ht="20" customHeight="1">
      <c r="A4" s="7" t="inlineStr">
        <is>
          <t>#</t>
        </is>
      </c>
      <c r="B4" s="7" t="inlineStr">
        <is>
          <t>Source</t>
        </is>
      </c>
      <c r="C4" s="7" t="inlineStr">
        <is>
          <t>Description</t>
        </is>
      </c>
      <c r="D4" s="7" t="inlineStr">
        <is>
          <t>ARS</t>
        </is>
      </c>
      <c r="E4" s="7" t="inlineStr">
        <is>
          <t>USD</t>
        </is>
      </c>
    </row>
    <row r="5" ht="18" customHeight="1">
      <c r="A5" s="8" t="n">
        <v>1</v>
      </c>
      <c r="B5" s="9" t="inlineStr"/>
      <c r="C5" s="9" t="inlineStr">
        <is>
          <t>Basecoat</t>
        </is>
      </c>
      <c r="D5" s="10" t="n">
        <v>3750000</v>
      </c>
      <c r="E5" s="10" t="n">
        <v>2500</v>
      </c>
      <c r="F5" s="11" t="n"/>
      <c r="G5" s="11" t="n"/>
    </row>
    <row r="6" ht="22" customHeight="1">
      <c r="A6" s="16" t="inlineStr">
        <is>
          <t>TOTAL INGRESOS</t>
        </is>
      </c>
      <c r="D6" s="17">
        <f>SUM(D5:D5)</f>
        <v/>
      </c>
      <c r="E6" s="17">
        <f>SUM(E5:E5)</f>
        <v/>
      </c>
      <c r="F6" s="18" t="n"/>
      <c r="G6" s="18" t="n"/>
    </row>
    <row r="7" ht="8" customHeight="1">
      <c r="A7" s="19" t="n"/>
      <c r="B7" s="19" t="n"/>
      <c r="C7" s="19" t="n"/>
      <c r="D7" s="19" t="n"/>
      <c r="E7" s="19" t="n"/>
      <c r="F7" s="19" t="n"/>
      <c r="G7" s="19" t="n"/>
    </row>
    <row r="8" ht="24" customHeight="1">
      <c r="A8" s="20" t="inlineStr">
        <is>
          <t>▼ EGRESOS FIJOS</t>
        </is>
      </c>
    </row>
    <row r="9" ht="20" customHeight="1">
      <c r="A9" s="21" t="inlineStr">
        <is>
          <t>#</t>
        </is>
      </c>
      <c r="B9" s="21" t="inlineStr">
        <is>
          <t>Description</t>
        </is>
      </c>
      <c r="C9" s="21" t="inlineStr">
        <is>
          <t>ARS</t>
        </is>
      </c>
      <c r="D9" s="21" t="inlineStr">
        <is>
          <t>USD</t>
        </is>
      </c>
      <c r="E9" s="21" t="inlineStr">
        <is>
          <t>Status</t>
        </is>
      </c>
      <c r="F9" s="21" t="inlineStr"/>
      <c r="G9" s="21" t="inlineStr"/>
    </row>
    <row r="10" ht="18" customHeight="1">
      <c r="A10" s="8" t="n">
        <v>1</v>
      </c>
      <c r="B10" s="9" t="inlineStr">
        <is>
          <t>Swiss Dic</t>
        </is>
      </c>
      <c r="D10" s="10" t="n">
        <v>240000</v>
      </c>
      <c r="E10" s="10" t="n">
        <v>160</v>
      </c>
      <c r="F10" s="9" t="inlineStr"/>
      <c r="G10" s="11" t="n"/>
    </row>
    <row r="11" ht="18" customHeight="1">
      <c r="A11" s="12" t="n">
        <v>2</v>
      </c>
      <c r="B11" s="13" t="inlineStr">
        <is>
          <t>Gym Ohana</t>
        </is>
      </c>
      <c r="D11" s="14" t="n">
        <v>34000</v>
      </c>
      <c r="E11" s="14" t="n">
        <v>22.67</v>
      </c>
      <c r="F11" s="13" t="inlineStr"/>
      <c r="G11" s="15" t="n"/>
    </row>
    <row r="12" ht="18" customHeight="1">
      <c r="A12" s="8" t="n">
        <v>3</v>
      </c>
      <c r="B12" s="9" t="inlineStr">
        <is>
          <t>Monotributo</t>
        </is>
      </c>
      <c r="D12" s="10" t="n">
        <v>50000</v>
      </c>
      <c r="E12" s="10" t="n">
        <v>33.33</v>
      </c>
      <c r="F12" s="9" t="inlineStr"/>
      <c r="G12" s="11" t="n"/>
    </row>
    <row r="13" ht="18" customHeight="1">
      <c r="A13" s="12" t="n">
        <v>4</v>
      </c>
      <c r="B13" s="13" t="inlineStr">
        <is>
          <t>Psic test</t>
        </is>
      </c>
      <c r="D13" s="14" t="n">
        <v>250000</v>
      </c>
      <c r="E13" s="14" t="n">
        <v>166.67</v>
      </c>
      <c r="F13" s="13" t="inlineStr"/>
      <c r="G13" s="15" t="n"/>
    </row>
    <row r="14" ht="18" customHeight="1">
      <c r="A14" s="8" t="n">
        <v>5</v>
      </c>
      <c r="B14" s="9" t="inlineStr">
        <is>
          <t>Psic Cognitivo</t>
        </is>
      </c>
      <c r="D14" s="10" t="n">
        <v>70000</v>
      </c>
      <c r="E14" s="10" t="n">
        <v>46.67</v>
      </c>
      <c r="F14" s="9" t="inlineStr"/>
      <c r="G14" s="11" t="n"/>
    </row>
    <row r="15" ht="18" customHeight="1">
      <c r="A15" s="12" t="n">
        <v>6</v>
      </c>
      <c r="B15" s="13" t="inlineStr">
        <is>
          <t>Internet</t>
        </is>
      </c>
      <c r="D15" s="14" t="n">
        <v>26000</v>
      </c>
      <c r="E15" s="14" t="n">
        <v>17.33</v>
      </c>
      <c r="F15" s="13" t="inlineStr"/>
      <c r="G15" s="15" t="n"/>
    </row>
    <row r="16" ht="22" customHeight="1">
      <c r="A16" s="16" t="inlineStr">
        <is>
          <t>TOTAL FIJOS</t>
        </is>
      </c>
      <c r="D16" s="17">
        <f>SUM(D10:D15)</f>
        <v/>
      </c>
      <c r="E16" s="17">
        <f>SUM(E10:E15)</f>
        <v/>
      </c>
      <c r="F16" s="18" t="n"/>
      <c r="G16" s="18" t="n"/>
    </row>
    <row r="17" ht="8" customHeight="1">
      <c r="A17" s="19" t="n"/>
      <c r="B17" s="19" t="n"/>
      <c r="C17" s="19" t="n"/>
      <c r="D17" s="19" t="n"/>
      <c r="E17" s="19" t="n"/>
      <c r="F17" s="19" t="n"/>
      <c r="G17" s="19" t="n"/>
    </row>
    <row r="18" ht="24" customHeight="1">
      <c r="A18" s="22" t="inlineStr">
        <is>
          <t>📋 GASTOS DEL MES</t>
        </is>
      </c>
    </row>
    <row r="19" ht="20" customHeight="1">
      <c r="A19" s="23" t="inlineStr">
        <is>
          <t>#</t>
        </is>
      </c>
      <c r="B19" s="23" t="inlineStr">
        <is>
          <t>Date</t>
        </is>
      </c>
      <c r="C19" s="23" t="inlineStr">
        <is>
          <t>Description</t>
        </is>
      </c>
      <c r="D19" s="23" t="inlineStr">
        <is>
          <t>ARS</t>
        </is>
      </c>
      <c r="E19" s="23" t="inlineStr">
        <is>
          <t>USD</t>
        </is>
      </c>
      <c r="F19" s="23" t="inlineStr">
        <is>
          <t>Category</t>
        </is>
      </c>
      <c r="G19" s="23" t="inlineStr">
        <is>
          <t>Payment</t>
        </is>
      </c>
    </row>
    <row r="20" ht="18" customHeight="1">
      <c r="A20" s="8" t="n">
        <v>1</v>
      </c>
      <c r="B20" s="8" t="inlineStr">
        <is>
          <t>02</t>
        </is>
      </c>
      <c r="C20" s="9" t="inlineStr">
        <is>
          <t>Compra ML Journal</t>
        </is>
      </c>
      <c r="D20" s="10" t="n">
        <v>40000</v>
      </c>
      <c r="E20" s="10">
        <f>IF(D20&gt;0,D20/B$2,"")</f>
        <v/>
      </c>
      <c r="F20" s="9" t="inlineStr"/>
      <c r="G20" s="9" t="inlineStr"/>
    </row>
    <row r="21" ht="18" customHeight="1">
      <c r="A21" s="12" t="n">
        <v>2</v>
      </c>
      <c r="B21" s="12" t="inlineStr">
        <is>
          <t>19</t>
        </is>
      </c>
      <c r="C21" s="13" t="inlineStr">
        <is>
          <t>PS5 Joystick</t>
        </is>
      </c>
      <c r="D21" s="14" t="n"/>
      <c r="E21" s="14" t="n">
        <v>95</v>
      </c>
      <c r="F21" s="13" t="inlineStr"/>
      <c r="G21" s="13" t="inlineStr"/>
    </row>
    <row r="22" ht="18" customHeight="1">
      <c r="A22" s="8" t="n">
        <v>3</v>
      </c>
      <c r="B22" s="8" t="inlineStr">
        <is>
          <t>25</t>
        </is>
      </c>
      <c r="C22" s="9" t="inlineStr">
        <is>
          <t>Test pizza</t>
        </is>
      </c>
      <c r="D22" s="10" t="n">
        <v>15000</v>
      </c>
      <c r="E22" s="10">
        <f>IF(D22&gt;0,D22/B$2,"")</f>
        <v/>
      </c>
      <c r="F22" s="9" t="inlineStr"/>
      <c r="G22" s="9" t="inlineStr"/>
    </row>
    <row r="23" ht="18" customHeight="1">
      <c r="A23" s="12" t="n">
        <v>4</v>
      </c>
      <c r="B23" s="12" t="inlineStr">
        <is>
          <t>24</t>
        </is>
      </c>
      <c r="C23" s="13" t="inlineStr">
        <is>
          <t>Nafta 208</t>
        </is>
      </c>
      <c r="D23" s="14" t="n">
        <v>85000</v>
      </c>
      <c r="E23" s="14">
        <f>IF(D23&gt;0,D23/B$2,"")</f>
        <v/>
      </c>
      <c r="F23" s="13" t="inlineStr"/>
      <c r="G23" s="13" t="inlineStr"/>
    </row>
    <row r="24" ht="18" customHeight="1">
      <c r="A24" s="8" t="n">
        <v>5</v>
      </c>
      <c r="B24" s="8" t="inlineStr">
        <is>
          <t>25</t>
        </is>
      </c>
      <c r="C24" s="9" t="inlineStr">
        <is>
          <t>Test directo sheets</t>
        </is>
      </c>
      <c r="D24" s="10" t="n">
        <v>5000</v>
      </c>
      <c r="E24" s="10">
        <f>IF(D24&gt;0,D24/B$2,"")</f>
        <v/>
      </c>
      <c r="F24" s="9" t="inlineStr"/>
      <c r="G24" s="9" t="inlineStr"/>
    </row>
    <row r="25" ht="18" customHeight="1">
      <c r="A25" s="25" t="n"/>
      <c r="B25" s="25" t="n"/>
      <c r="C25" s="25" t="n"/>
      <c r="D25" s="25" t="n"/>
      <c r="E25" s="25" t="n"/>
      <c r="F25" s="25" t="n"/>
      <c r="G25" s="25" t="n"/>
    </row>
    <row r="26" ht="18" customHeight="1">
      <c r="A26" s="24" t="n"/>
      <c r="B26" s="24" t="n"/>
      <c r="C26" s="24" t="n"/>
      <c r="D26" s="24" t="n"/>
      <c r="E26" s="24" t="n"/>
      <c r="F26" s="24" t="n"/>
      <c r="G26" s="24" t="n"/>
    </row>
    <row r="27" ht="18" customHeight="1">
      <c r="A27" s="25" t="n"/>
      <c r="B27" s="25" t="n"/>
      <c r="C27" s="25" t="n"/>
      <c r="D27" s="25" t="n"/>
      <c r="E27" s="25" t="n"/>
      <c r="F27" s="25" t="n"/>
      <c r="G27" s="25" t="n"/>
    </row>
    <row r="28" ht="18" customHeight="1">
      <c r="A28" s="24" t="n"/>
      <c r="B28" s="24" t="n"/>
      <c r="C28" s="24" t="n"/>
      <c r="D28" s="24" t="n"/>
      <c r="E28" s="24" t="n"/>
      <c r="F28" s="24" t="n"/>
      <c r="G28" s="24" t="n"/>
    </row>
    <row r="29" ht="18" customHeight="1">
      <c r="A29" s="25" t="n"/>
      <c r="B29" s="25" t="n"/>
      <c r="C29" s="25" t="n"/>
      <c r="D29" s="25" t="n"/>
      <c r="E29" s="25" t="n"/>
      <c r="F29" s="25" t="n"/>
      <c r="G29" s="25" t="n"/>
    </row>
    <row r="30" ht="18" customHeight="1">
      <c r="A30" s="24" t="n"/>
      <c r="B30" s="24" t="n"/>
      <c r="C30" s="24" t="n"/>
      <c r="D30" s="24" t="n"/>
      <c r="E30" s="24" t="n"/>
      <c r="F30" s="24" t="n"/>
      <c r="G30" s="24" t="n"/>
    </row>
    <row r="31" ht="18" customHeight="1">
      <c r="A31" s="25" t="n"/>
      <c r="B31" s="25" t="n"/>
      <c r="C31" s="25" t="n"/>
      <c r="D31" s="25" t="n"/>
      <c r="E31" s="25" t="n"/>
      <c r="F31" s="25" t="n"/>
      <c r="G31" s="25" t="n"/>
    </row>
    <row r="32" ht="18" customHeight="1">
      <c r="A32" s="24" t="n"/>
      <c r="B32" s="24" t="n"/>
      <c r="C32" s="24" t="n"/>
      <c r="D32" s="24" t="n"/>
      <c r="E32" s="24" t="n"/>
      <c r="F32" s="24" t="n"/>
      <c r="G32" s="24" t="n"/>
    </row>
    <row r="33" ht="18" customHeight="1">
      <c r="A33" s="25" t="n"/>
      <c r="B33" s="25" t="n"/>
      <c r="C33" s="25" t="n"/>
      <c r="D33" s="25" t="n"/>
      <c r="E33" s="25" t="n"/>
      <c r="F33" s="25" t="n"/>
      <c r="G33" s="25" t="n"/>
    </row>
    <row r="34" ht="18" customHeight="1">
      <c r="A34" s="24" t="n"/>
      <c r="B34" s="24" t="n"/>
      <c r="C34" s="24" t="n"/>
      <c r="D34" s="24" t="n"/>
      <c r="E34" s="24" t="n"/>
      <c r="F34" s="24" t="n"/>
      <c r="G34" s="24" t="n"/>
    </row>
    <row r="35" ht="18" customHeight="1">
      <c r="A35" s="25" t="n"/>
      <c r="B35" s="25" t="n"/>
      <c r="C35" s="25" t="n"/>
      <c r="D35" s="25" t="n"/>
      <c r="E35" s="25" t="n"/>
      <c r="F35" s="25" t="n"/>
      <c r="G35" s="25" t="n"/>
    </row>
    <row r="36" ht="18" customHeight="1">
      <c r="A36" s="24" t="n"/>
      <c r="B36" s="24" t="n"/>
      <c r="C36" s="24" t="n"/>
      <c r="D36" s="24" t="n"/>
      <c r="E36" s="24" t="n"/>
      <c r="F36" s="24" t="n"/>
      <c r="G36" s="24" t="n"/>
    </row>
    <row r="37" ht="18" customHeight="1">
      <c r="A37" s="25" t="n"/>
      <c r="B37" s="25" t="n"/>
      <c r="C37" s="25" t="n"/>
      <c r="D37" s="25" t="n"/>
      <c r="E37" s="25" t="n"/>
      <c r="F37" s="25" t="n"/>
      <c r="G37" s="25" t="n"/>
    </row>
    <row r="38" ht="18" customHeight="1">
      <c r="A38" s="24" t="n"/>
      <c r="B38" s="24" t="n"/>
      <c r="C38" s="24" t="n"/>
      <c r="D38" s="24" t="n"/>
      <c r="E38" s="24" t="n"/>
      <c r="F38" s="24" t="n"/>
      <c r="G38" s="24" t="n"/>
    </row>
    <row r="39" ht="18" customHeight="1">
      <c r="A39" s="25" t="n"/>
      <c r="B39" s="25" t="n"/>
      <c r="C39" s="25" t="n"/>
      <c r="D39" s="25" t="n"/>
      <c r="E39" s="25" t="n"/>
      <c r="F39" s="25" t="n"/>
      <c r="G39" s="25" t="n"/>
    </row>
    <row r="40" ht="18" customHeight="1">
      <c r="A40" s="24" t="n"/>
      <c r="B40" s="24" t="n"/>
      <c r="C40" s="24" t="n"/>
      <c r="D40" s="24" t="n"/>
      <c r="E40" s="24" t="n"/>
      <c r="F40" s="24" t="n"/>
      <c r="G40" s="24" t="n"/>
    </row>
    <row r="41" ht="18" customHeight="1">
      <c r="A41" s="25" t="n"/>
      <c r="B41" s="25" t="n"/>
      <c r="C41" s="25" t="n"/>
      <c r="D41" s="25" t="n"/>
      <c r="E41" s="25" t="n"/>
      <c r="F41" s="25" t="n"/>
      <c r="G41" s="25" t="n"/>
    </row>
    <row r="42" ht="18" customHeight="1">
      <c r="A42" s="24" t="n"/>
      <c r="B42" s="24" t="n"/>
      <c r="C42" s="24" t="n"/>
      <c r="D42" s="24" t="n"/>
      <c r="E42" s="24" t="n"/>
      <c r="F42" s="24" t="n"/>
      <c r="G42" s="24" t="n"/>
    </row>
    <row r="43" ht="18" customHeight="1">
      <c r="A43" s="25" t="n"/>
      <c r="B43" s="25" t="n"/>
      <c r="C43" s="25" t="n"/>
      <c r="D43" s="25" t="n"/>
      <c r="E43" s="25" t="n"/>
      <c r="F43" s="25" t="n"/>
      <c r="G43" s="25" t="n"/>
    </row>
    <row r="44" ht="18" customHeight="1">
      <c r="A44" s="24" t="n"/>
      <c r="B44" s="24" t="n"/>
      <c r="C44" s="24" t="n"/>
      <c r="D44" s="24" t="n"/>
      <c r="E44" s="24" t="n"/>
      <c r="F44" s="24" t="n"/>
      <c r="G44" s="24" t="n"/>
    </row>
    <row r="45" ht="22" customHeight="1">
      <c r="A45" s="16" t="inlineStr">
        <is>
          <t>TOTAL VARIABLE</t>
        </is>
      </c>
      <c r="D45" s="17">
        <f>SUM(D20:D44)</f>
        <v/>
      </c>
      <c r="E45" s="17">
        <f>SUM(E20:E44)</f>
        <v/>
      </c>
      <c r="F45" s="18" t="n"/>
      <c r="G45" s="18" t="n"/>
    </row>
    <row r="46" ht="8" customHeight="1">
      <c r="A46" s="19" t="n"/>
      <c r="B46" s="19" t="n"/>
      <c r="C46" s="19" t="n"/>
      <c r="D46" s="19" t="n"/>
      <c r="E46" s="19" t="n"/>
      <c r="F46" s="19" t="n"/>
      <c r="G46" s="19" t="n"/>
    </row>
    <row r="47" ht="26" customHeight="1">
      <c r="A47" s="26" t="inlineStr">
        <is>
          <t>💰 BALANCE</t>
        </is>
      </c>
      <c r="D47" s="27">
        <f>D6-D16-D45</f>
        <v/>
      </c>
      <c r="E47" s="27">
        <f>E6-E16-E45</f>
        <v/>
      </c>
      <c r="F47" s="28" t="n"/>
      <c r="G47" s="28" t="n"/>
    </row>
  </sheetData>
  <mergeCells count="15">
    <mergeCell ref="B13:C13"/>
    <mergeCell ref="A1:G1"/>
    <mergeCell ref="B15:C15"/>
    <mergeCell ref="A18:G18"/>
    <mergeCell ref="B11:C11"/>
    <mergeCell ref="A8:G8"/>
    <mergeCell ref="A3:G3"/>
    <mergeCell ref="A45:C45"/>
    <mergeCell ref="A47:C47"/>
    <mergeCell ref="A6:C6"/>
    <mergeCell ref="B10:C10"/>
    <mergeCell ref="A2"/>
    <mergeCell ref="B14:C14"/>
    <mergeCell ref="A16:C16"/>
    <mergeCell ref="B12:C12"/>
  </mergeCells>
  <dataValidations count="3">
    <dataValidation sqref="F20:F44" showDropDown="0" showInputMessage="0" showErrorMessage="0" allowBlank="1" type="list">
      <formula1>"Food,Transport,Health,Utilities,Entertainment,Tax,Savings,Big Buy,Personal,Other"</formula1>
    </dataValidation>
    <dataValidation sqref="G20:G44" showDropDown="0" showInputMessage="0" showErrorMessage="0" allowBlank="1" type="list">
      <formula1>"Cash ARS,USD Cash,Wise,Binance,MercadoPago,Tarjeta"</formula1>
    </dataValidation>
    <dataValidation sqref="E10:E15" showDropDown="0" showInputMessage="0" showErrorMessage="0" allowBlank="1" type="list">
      <formula1>"Pagado,Pendiente,Auto"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12" customWidth="1" min="4" max="4"/>
    <col width="14" customWidth="1" min="5" max="5"/>
    <col width="20" customWidth="1" min="6" max="6"/>
  </cols>
  <sheetData>
    <row r="1" ht="30" customHeight="1">
      <c r="A1" s="1" t="inlineStr">
        <is>
          <t>🛍 ALL-TIME BIG PURCHASES</t>
        </is>
      </c>
    </row>
    <row r="2" ht="20" customHeight="1">
      <c r="A2" s="29" t="inlineStr">
        <is>
          <t>Month</t>
        </is>
      </c>
      <c r="B2" s="29" t="inlineStr">
        <is>
          <t>Date</t>
        </is>
      </c>
      <c r="C2" s="29" t="inlineStr">
        <is>
          <t>Item</t>
        </is>
      </c>
      <c r="D2" s="29" t="inlineStr">
        <is>
          <t>USD</t>
        </is>
      </c>
      <c r="E2" s="29" t="inlineStr">
        <is>
          <t>ARS</t>
        </is>
      </c>
      <c r="F2" s="29" t="inlineStr">
        <is>
          <t>Notes</t>
        </is>
      </c>
    </row>
    <row r="3" ht="18" customHeight="1">
      <c r="A3" s="30" t="inlineStr">
        <is>
          <t>Oct 2023</t>
        </is>
      </c>
      <c r="B3" s="30" t="inlineStr">
        <is>
          <t>01/10</t>
        </is>
      </c>
      <c r="C3" s="30" t="inlineStr">
        <is>
          <t>1er Pago Cabaña</t>
        </is>
      </c>
      <c r="D3" s="30" t="n"/>
      <c r="E3" s="31" t="n">
        <v>50000</v>
      </c>
      <c r="F3" s="30" t="inlineStr"/>
    </row>
    <row r="4" ht="18" customHeight="1">
      <c r="A4" s="32" t="inlineStr">
        <is>
          <t>Oct 2023</t>
        </is>
      </c>
      <c r="B4" s="32" t="inlineStr">
        <is>
          <t>03/10</t>
        </is>
      </c>
      <c r="C4" s="32" t="inlineStr">
        <is>
          <t>2do Pago Cabaña</t>
        </is>
      </c>
      <c r="D4" s="32" t="n"/>
      <c r="E4" s="33" t="n">
        <v>118000</v>
      </c>
      <c r="F4" s="32" t="inlineStr"/>
    </row>
    <row r="5" ht="18" customHeight="1">
      <c r="A5" s="30" t="inlineStr">
        <is>
          <t>Oct 2023</t>
        </is>
      </c>
      <c r="B5" s="30" t="inlineStr">
        <is>
          <t>??/10</t>
        </is>
      </c>
      <c r="C5" s="30" t="inlineStr">
        <is>
          <t>Iphone Gonza CF 13Pro</t>
        </is>
      </c>
      <c r="D5" s="31" t="n">
        <v>105</v>
      </c>
      <c r="E5" s="30" t="n"/>
      <c r="F5" s="30" t="inlineStr"/>
    </row>
    <row r="6" ht="18" customHeight="1">
      <c r="A6" s="32" t="inlineStr">
        <is>
          <t>Nov 2023</t>
        </is>
      </c>
      <c r="B6" s="32" t="inlineStr">
        <is>
          <t>??/11</t>
        </is>
      </c>
      <c r="C6" s="32" t="inlineStr">
        <is>
          <t>D Dani (deuda)</t>
        </is>
      </c>
      <c r="D6" s="33" t="n">
        <v>500</v>
      </c>
      <c r="E6" s="32" t="n"/>
      <c r="F6" s="32" t="inlineStr"/>
    </row>
    <row r="7" ht="18" customHeight="1">
      <c r="A7" s="30" t="inlineStr">
        <is>
          <t>Nov 2023</t>
        </is>
      </c>
      <c r="B7" s="30" t="inlineStr">
        <is>
          <t>??/11</t>
        </is>
      </c>
      <c r="C7" s="30" t="inlineStr">
        <is>
          <t>HSBC pago</t>
        </is>
      </c>
      <c r="D7" s="31" t="n">
        <v>275</v>
      </c>
      <c r="E7" s="30" t="n"/>
      <c r="F7" s="30" t="inlineStr"/>
    </row>
    <row r="8" ht="18" customHeight="1">
      <c r="A8" s="32" t="inlineStr">
        <is>
          <t>Mar 2025</t>
        </is>
      </c>
      <c r="B8" s="32" t="inlineStr">
        <is>
          <t>??/03</t>
        </is>
      </c>
      <c r="C8" s="32" t="inlineStr">
        <is>
          <t>MSI Cyborg laptop</t>
        </is>
      </c>
      <c r="D8" s="33" t="n">
        <v>810</v>
      </c>
      <c r="E8" s="32" t="n"/>
      <c r="F8" s="32" t="inlineStr"/>
    </row>
    <row r="9" ht="18" customHeight="1">
      <c r="A9" s="30" t="inlineStr">
        <is>
          <t>Mar 2025</t>
        </is>
      </c>
      <c r="B9" s="30" t="inlineStr">
        <is>
          <t>??/03</t>
        </is>
      </c>
      <c r="C9" s="30" t="inlineStr">
        <is>
          <t>Sillon</t>
        </is>
      </c>
      <c r="D9" s="30" t="n"/>
      <c r="E9" s="31" t="n">
        <v>230000</v>
      </c>
      <c r="F9" s="30" t="inlineStr"/>
    </row>
    <row r="10" ht="18" customHeight="1">
      <c r="A10" s="32" t="inlineStr">
        <is>
          <t>Mar 2025</t>
        </is>
      </c>
      <c r="B10" s="32" t="inlineStr">
        <is>
          <t>??/03</t>
        </is>
      </c>
      <c r="C10" s="32" t="inlineStr">
        <is>
          <t>Monitor</t>
        </is>
      </c>
      <c r="D10" s="32" t="n"/>
      <c r="E10" s="33" t="n">
        <v>250000</v>
      </c>
      <c r="F10" s="32" t="inlineStr"/>
    </row>
    <row r="11" ht="18" customHeight="1">
      <c r="A11" s="30" t="inlineStr">
        <is>
          <t>Nov 2025</t>
        </is>
      </c>
      <c r="B11" s="30" t="inlineStr">
        <is>
          <t>??/11</t>
        </is>
      </c>
      <c r="C11" s="30" t="inlineStr">
        <is>
          <t>Sur Pesca</t>
        </is>
      </c>
      <c r="D11" s="30" t="n"/>
      <c r="E11" s="31" t="n">
        <v>350000</v>
      </c>
      <c r="F11" s="30" t="inlineStr"/>
    </row>
    <row r="12" ht="18" customHeight="1">
      <c r="A12" s="32" t="inlineStr">
        <is>
          <t>Nov 2025</t>
        </is>
      </c>
      <c r="B12" s="32" t="inlineStr">
        <is>
          <t>??/11</t>
        </is>
      </c>
      <c r="C12" s="32" t="inlineStr">
        <is>
          <t>Chapa</t>
        </is>
      </c>
      <c r="D12" s="32" t="n"/>
      <c r="E12" s="33" t="n">
        <v>250000</v>
      </c>
      <c r="F12" s="32" t="inlineStr"/>
    </row>
    <row r="13" ht="18" customHeight="1">
      <c r="A13" s="30" t="inlineStr">
        <is>
          <t>Nov 2025</t>
        </is>
      </c>
      <c r="B13" s="30" t="inlineStr">
        <is>
          <t>??/11</t>
        </is>
      </c>
      <c r="C13" s="30" t="inlineStr">
        <is>
          <t>Regalo Guido</t>
        </is>
      </c>
      <c r="D13" s="30" t="n"/>
      <c r="E13" s="31" t="n">
        <v>150000</v>
      </c>
      <c r="F13" s="30" t="inlineStr"/>
    </row>
    <row r="14" ht="18" customHeight="1">
      <c r="A14" s="32" t="inlineStr">
        <is>
          <t>Apr 2026</t>
        </is>
      </c>
      <c r="B14" s="32" t="inlineStr">
        <is>
          <t>??/04</t>
        </is>
      </c>
      <c r="C14" s="32" t="inlineStr">
        <is>
          <t>Gastos Abril (varios)</t>
        </is>
      </c>
      <c r="D14" s="33" t="n">
        <v>1466.67</v>
      </c>
      <c r="E14" s="32" t="n"/>
      <c r="F14" s="32" t="inlineStr">
        <is>
          <t>Big month</t>
        </is>
      </c>
    </row>
    <row r="15" ht="18" customHeight="1">
      <c r="A15" s="30" t="inlineStr">
        <is>
          <t>May 2026</t>
        </is>
      </c>
      <c r="B15" s="30" t="inlineStr">
        <is>
          <t>19/05</t>
        </is>
      </c>
      <c r="C15" s="30" t="inlineStr">
        <is>
          <t>PS5 Joystick (DualSense)</t>
        </is>
      </c>
      <c r="D15" s="31" t="n">
        <v>95</v>
      </c>
      <c r="E15" s="30" t="n"/>
      <c r="F15" s="30" t="inlineStr"/>
    </row>
    <row r="16" ht="22" customHeight="1">
      <c r="A16" s="34" t="inlineStr">
        <is>
          <t>TOTAL</t>
        </is>
      </c>
      <c r="D16" s="35">
        <f>SUM(D3:D15)</f>
        <v/>
      </c>
      <c r="E16" s="35">
        <f>SUM(E3:E15)</f>
        <v/>
      </c>
      <c r="F16" s="18" t="n"/>
    </row>
  </sheetData>
  <mergeCells count="2">
    <mergeCell ref="A1:F1"/>
    <mergeCell ref="A16:C1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5" customWidth="1" min="3" max="3"/>
  </cols>
  <sheetData>
    <row r="1" ht="30" customHeight="1">
      <c r="A1" s="1" t="inlineStr">
        <is>
          <t>💰 CASH ASSETS — MAY 2026</t>
        </is>
      </c>
    </row>
    <row r="2" ht="20" customHeight="1">
      <c r="A2" s="29" t="inlineStr">
        <is>
          <t>Asset</t>
        </is>
      </c>
      <c r="B2" s="29" t="inlineStr">
        <is>
          <t>USD Value</t>
        </is>
      </c>
      <c r="C2" s="29" t="inlineStr">
        <is>
          <t>Notes</t>
        </is>
      </c>
    </row>
    <row r="3" ht="20" customHeight="1">
      <c r="A3" s="36" t="inlineStr">
        <is>
          <t>Wise (USD)</t>
        </is>
      </c>
      <c r="B3" s="37" t="n">
        <v>14800</v>
      </c>
      <c r="C3" s="38" t="inlineStr"/>
    </row>
    <row r="4" ht="20" customHeight="1">
      <c r="A4" s="39" t="inlineStr">
        <is>
          <t>USD Cash (Olav)</t>
        </is>
      </c>
      <c r="B4" s="40" t="n">
        <v>323</v>
      </c>
      <c r="C4" s="41" t="inlineStr"/>
    </row>
    <row r="5" ht="20" customHeight="1">
      <c r="A5" s="36" t="inlineStr">
        <is>
          <t>EUR Cash (Olav)</t>
        </is>
      </c>
      <c r="B5" s="37" t="n">
        <v>594</v>
      </c>
      <c r="C5" s="38" t="inlineStr">
        <is>
          <t>× 1.08 USD/EUR</t>
        </is>
      </c>
    </row>
    <row r="6" ht="20" customHeight="1">
      <c r="A6" s="39" t="inlineStr">
        <is>
          <t>Binance USDT</t>
        </is>
      </c>
      <c r="B6" s="40" t="n">
        <v>0</v>
      </c>
      <c r="C6" s="41" t="inlineStr"/>
    </row>
    <row r="7" ht="20" customHeight="1">
      <c r="A7" s="36" t="inlineStr">
        <is>
          <t>Nexo</t>
        </is>
      </c>
      <c r="B7" s="37" t="n">
        <v>0</v>
      </c>
      <c r="C7" s="38" t="inlineStr"/>
    </row>
    <row r="8" ht="20" customHeight="1">
      <c r="A8" s="39" t="inlineStr">
        <is>
          <t>MercadoPago</t>
        </is>
      </c>
      <c r="B8" s="42" t="n"/>
      <c r="C8" s="41" t="inlineStr"/>
    </row>
    <row r="9" ht="20" customHeight="1">
      <c r="A9" s="36" t="inlineStr">
        <is>
          <t>Cash ARS</t>
        </is>
      </c>
      <c r="B9" s="37" t="n">
        <v>40</v>
      </c>
      <c r="C9" s="38" t="inlineStr">
        <is>
          <t>÷ 1500 ARS/USD</t>
        </is>
      </c>
    </row>
    <row r="10" ht="20" customHeight="1">
      <c r="A10" s="39" t="inlineStr">
        <is>
          <t>Terreno (land)</t>
        </is>
      </c>
      <c r="B10" s="40" t="n">
        <v>30000</v>
      </c>
      <c r="C10" s="41" t="inlineStr">
        <is>
          <t>USD</t>
        </is>
      </c>
    </row>
    <row r="11" ht="20" customHeight="1">
      <c r="A11" s="36" t="inlineStr">
        <is>
          <t>US Bank</t>
        </is>
      </c>
      <c r="B11" s="37" t="n">
        <v>45</v>
      </c>
      <c r="C11" s="38" t="inlineStr"/>
    </row>
    <row r="12" ht="20" customHeight="1">
      <c r="A12" s="39" t="inlineStr">
        <is>
          <t>Level</t>
        </is>
      </c>
      <c r="B12" s="40" t="n">
        <v>300</v>
      </c>
      <c r="C12" s="41" t="inlineStr"/>
    </row>
    <row r="13" ht="22" customHeight="1">
      <c r="A13" s="34" t="inlineStr">
        <is>
          <t>TOTAL ≈ USD</t>
        </is>
      </c>
      <c r="B13" s="35">
        <f>SUM(B3:B12)</f>
        <v/>
      </c>
      <c r="C13" s="18" t="n"/>
    </row>
  </sheetData>
  <mergeCells count="2">
    <mergeCell ref="A1:C1"/>
    <mergeCell ref="A1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18" customWidth="1" min="5" max="5"/>
  </cols>
  <sheetData>
    <row r="1" ht="30" customHeight="1">
      <c r="A1" s="1" t="inlineStr">
        <is>
          <t>📊 RESUMEN ANUAL</t>
        </is>
      </c>
    </row>
    <row r="2" ht="20" customHeight="1">
      <c r="A2" s="29" t="inlineStr">
        <is>
          <t>Año</t>
        </is>
      </c>
      <c r="B2" s="29" t="inlineStr">
        <is>
          <t>Total Ingresos (USD)</t>
        </is>
      </c>
      <c r="C2" s="29" t="inlineStr">
        <is>
          <t>Total Egresos (USD)</t>
        </is>
      </c>
      <c r="D2" s="29" t="inlineStr">
        <is>
          <t>Balance (USD)</t>
        </is>
      </c>
      <c r="E2" s="29" t="inlineStr">
        <is>
          <t>Meses</t>
        </is>
      </c>
    </row>
    <row r="3" ht="20" customHeight="1">
      <c r="A3" s="43" t="n">
        <v>2023</v>
      </c>
      <c r="B3" s="44">
        <f>'Oct 2023'!E14+'Nov 2023'!E10+'Dec 2023'!E8</f>
        <v/>
      </c>
      <c r="C3" s="44">
        <f>'Oct 2023'!E25+'Oct 2023'!E54+'Nov 2023'!E17+'Nov 2023'!E46+'Dec 2023'!E15+'Dec 2023'!E44</f>
        <v/>
      </c>
      <c r="D3" s="44">
        <f>B3-C3</f>
        <v/>
      </c>
      <c r="E3" s="45" t="inlineStr">
        <is>
          <t>Oct 2023, Nov 2023, Dec 2023</t>
        </is>
      </c>
    </row>
    <row r="4" ht="20" customHeight="1">
      <c r="A4" s="46" t="n">
        <v>2024</v>
      </c>
      <c r="B4" s="47">
        <f>'Jan 2024'!E8+'Feb 2024'!E7+'Mar 2024'!E9+'Apr 2024'!E7+'May 2024'!E9+'Jun 2024'!E5+'Jul 2024'!E5+'Aug 2024'!E5+'Sep 2024'!E5+'Oct 2024'!E5+'Nov 2024'!E5+'Dec 2024'!E5</f>
        <v/>
      </c>
      <c r="C4" s="47">
        <f>'Jan 2024'!E15+'Jan 2024'!E44+'Feb 2024'!E14+'Feb 2024'!E43+'Mar 2024'!E16+'Mar 2024'!E45+'Apr 2024'!E14+'Apr 2024'!E43+'May 2024'!E16+'May 2024'!E45+'Jun 2024'!E9+'Jun 2024'!E38+'Jul 2024'!E9+'Jul 2024'!E38+'Aug 2024'!E9+'Aug 2024'!E38+'Sep 2024'!E9+'Sep 2024'!E38+'Oct 2024'!E9+'Oct 2024'!E38+'Nov 2024'!E9+'Nov 2024'!E38+'Dec 2024'!E9+'Dec 2024'!E38</f>
        <v/>
      </c>
      <c r="D4" s="47">
        <f>B4-C4</f>
        <v/>
      </c>
      <c r="E4" s="48" t="inlineStr">
        <is>
          <t>Jan 2024, Feb 2024, Mar 2024, Apr 2024, May 2024, Jun 2024, Jul 2024, Aug 2024, Sep 2024, Oct 2024, Nov 2024, Dec 2024</t>
        </is>
      </c>
    </row>
    <row r="5" ht="20" customHeight="1">
      <c r="A5" s="43" t="n">
        <v>2025</v>
      </c>
      <c r="B5" s="44">
        <f>'Jan 2025'!E5+'Feb 2025'!E5+'Mar 2025'!E11+'Apr 2025'!E10+'May 2025'!E7+'Jun 2025'!E7+'Jul 2025'!E6+'Aug 2025'!E5+'Sep 2025'!E5+'Oct 2025'!E5+'Nov 2025'!E5+'Dec 2025'!E6</f>
        <v/>
      </c>
      <c r="C5" s="44">
        <f>'Jan 2025'!E9+'Jan 2025'!E38+'Feb 2025'!E9+'Feb 2025'!E38+'Mar 2025'!E25+'Mar 2025'!E54+'Apr 2025'!E22+'Apr 2025'!E51+'May 2025'!E19+'May 2025'!E48+'Jun 2025'!E19+'Jun 2025'!E48+'Jul 2025'!E18+'Jul 2025'!E47+'Aug 2025'!E19+'Aug 2025'!E48+'Sep 2025'!E16+'Sep 2025'!E45+'Oct 2025'!E17+'Oct 2025'!E46+'Nov 2025'!E22+'Nov 2025'!E51+'Dec 2025'!E18+'Dec 2025'!E47</f>
        <v/>
      </c>
      <c r="D5" s="44">
        <f>B5-C5</f>
        <v/>
      </c>
      <c r="E5" s="45" t="inlineStr">
        <is>
          <t>Jan 2025, Feb 2025, Mar 2025, Apr 2025, May 2025, Jun 2025, Jul 2025, Aug 2025, Sep 2025, Oct 2025, Nov 2025, Dec 2025</t>
        </is>
      </c>
    </row>
    <row r="6" ht="20" customHeight="1">
      <c r="A6" s="46" t="n">
        <v>2026</v>
      </c>
      <c r="B6" s="47">
        <f>'Jan 2026'!E6+'Feb 2026'!E6+'Mar 2026'!E6+'Apr 2026'!E6+'May 2026'!E6</f>
        <v/>
      </c>
      <c r="C6" s="47">
        <f>'Jan 2026'!E22+'Jan 2026'!E51+'Feb 2026'!E22+'Feb 2026'!E51+'Mar 2026'!E20+'Mar 2026'!E49+'Apr 2026'!E22+'Apr 2026'!E51+'May 2026'!E16+'May 2026'!E45</f>
        <v/>
      </c>
      <c r="D6" s="47">
        <f>B6-C6</f>
        <v/>
      </c>
      <c r="E6" s="48" t="inlineStr">
        <is>
          <t>Jan 2026, Feb 2026, Mar 2026, Apr 2026, May 2026</t>
        </is>
      </c>
    </row>
    <row r="7" ht="24" customHeight="1">
      <c r="A7" s="34" t="inlineStr">
        <is>
          <t>TOTAL</t>
        </is>
      </c>
      <c r="B7" s="35">
        <f>SUM(B3:B6)</f>
        <v/>
      </c>
      <c r="C7" s="35">
        <f>SUM(C3:C6)</f>
        <v/>
      </c>
      <c r="D7" s="35">
        <f>SUM(D3:D6)</f>
        <v/>
      </c>
      <c r="E7" s="18" t="n"/>
    </row>
  </sheetData>
  <mergeCells count="2">
    <mergeCell ref="A1:E1"/>
    <mergeCell ref="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2026-05-26T00:20:53Z</dcterms:created>
  <dcterms:modified xsi:type="dcterms:W3CDTF">2026-05-26T00:20:54Z</dcterms:modified>
</cp:coreProperties>
</file>